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hui\Documents\Web Dev\Projects\Free Code Camp\NEXT\Happy Bytes\public\blogs\labs\var_portfolio_analysis\"/>
    </mc:Choice>
  </mc:AlternateContent>
  <bookViews>
    <workbookView xWindow="0" yWindow="0" windowWidth="21103" windowHeight="8220"/>
  </bookViews>
  <sheets>
    <sheet name="Inputs" sheetId="2" r:id="rId1"/>
    <sheet name="Prices" sheetId="1" r:id="rId2"/>
    <sheet name="Returns" sheetId="7" r:id="rId3"/>
    <sheet name="Var_Calcs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2" l="1"/>
  <c r="B23" i="2"/>
  <c r="E9" i="6"/>
  <c r="D9" i="6"/>
  <c r="C9" i="6"/>
  <c r="B9" i="6"/>
  <c r="B11" i="6" a="1"/>
  <c r="B11" i="6" s="1"/>
  <c r="B12" i="6" s="1"/>
  <c r="B12" i="2" s="1"/>
  <c r="E5" i="6"/>
  <c r="D5" i="6"/>
  <c r="C5" i="6"/>
  <c r="E4" i="6"/>
  <c r="D4" i="6"/>
  <c r="C4" i="6"/>
  <c r="E3" i="6"/>
  <c r="D3" i="6"/>
  <c r="C3" i="6"/>
  <c r="E2" i="6"/>
  <c r="D2" i="6"/>
  <c r="C2" i="6"/>
  <c r="B5" i="6"/>
  <c r="B4" i="6"/>
  <c r="B3" i="6"/>
  <c r="B2" i="6"/>
  <c r="B25" i="2" l="1"/>
  <c r="B11" i="2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B15" i="2" l="1"/>
  <c r="B16" i="2"/>
  <c r="B17" i="2"/>
  <c r="G254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6" i="7"/>
  <c r="D236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E251" i="7"/>
  <c r="D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251" i="7"/>
</calcChain>
</file>

<file path=xl/sharedStrings.xml><?xml version="1.0" encoding="utf-8"?>
<sst xmlns="http://schemas.openxmlformats.org/spreadsheetml/2006/main" count="45" uniqueCount="30">
  <si>
    <t>Date</t>
  </si>
  <si>
    <t xml:space="preserve"> SPY Close</t>
  </si>
  <si>
    <t>Spy Daily Return</t>
  </si>
  <si>
    <t>QQQ Close</t>
  </si>
  <si>
    <t>QQQ Daily Return</t>
  </si>
  <si>
    <t>AGG Close</t>
  </si>
  <si>
    <t>AGG Daily Return</t>
  </si>
  <si>
    <t>GLD Close</t>
  </si>
  <si>
    <t>GLD Daily Return</t>
  </si>
  <si>
    <t>SPY</t>
  </si>
  <si>
    <t>QQQ</t>
  </si>
  <si>
    <t>AGG</t>
  </si>
  <si>
    <t>GLD</t>
  </si>
  <si>
    <t>Weight</t>
  </si>
  <si>
    <t>Daily Return</t>
  </si>
  <si>
    <t>Expected Return</t>
  </si>
  <si>
    <t>St. Dev.</t>
  </si>
  <si>
    <t>Portfolio Variance</t>
  </si>
  <si>
    <t>Portfolio St. Dev.</t>
  </si>
  <si>
    <t>Mean Portfolio Return</t>
  </si>
  <si>
    <t>St. Dev. Of Portfolio Return</t>
  </si>
  <si>
    <t>Days</t>
  </si>
  <si>
    <t>Conf. Interval</t>
  </si>
  <si>
    <t>Z-Score</t>
  </si>
  <si>
    <t>VaR</t>
  </si>
  <si>
    <t>Trading Days</t>
  </si>
  <si>
    <t>Portfolio value</t>
  </si>
  <si>
    <t>Historical VaR (1-Day)</t>
  </si>
  <si>
    <t>Parametric VaR (10-Day, 95%)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</si>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</sst>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0.000"/>
    <numFmt numFmtId="165" formatCode="0.0E+00"/>
    <numFmt numFmtId="166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2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1" xfId="2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9" fontId="0" fillId="0" borderId="3" xfId="2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9" fontId="0" fillId="0" borderId="5" xfId="2" applyFon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44" fontId="0" fillId="0" borderId="6" xfId="1" applyFont="1" applyBorder="1" applyAlignment="1">
      <alignment horizontal="center"/>
    </xf>
    <xf numFmtId="2" fontId="0" fillId="0" borderId="4" xfId="2" applyNumberFormat="1" applyFont="1" applyBorder="1" applyAlignment="1">
      <alignment horizontal="center"/>
    </xf>
    <xf numFmtId="2" fontId="0" fillId="0" borderId="6" xfId="2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6" fontId="0" fillId="0" borderId="7" xfId="1" applyNumberFormat="1" applyFont="1" applyBorder="1" applyAlignment="1">
      <alignment horizontal="center"/>
    </xf>
    <xf numFmtId="0" fontId="0" fillId="0" borderId="7" xfId="1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4.6" x14ac:dyDescent="0.4"/>
  <cols>
    <col min="1" max="2" width="17.15234375" style="1" bestFit="1" customWidth="1"/>
    <col min="4" max="4" width="15.61328125" bestFit="1" customWidth="1"/>
    <col min="5" max="5" width="14.84375" bestFit="1" customWidth="1"/>
  </cols>
  <sheetData>
    <row r="1" spans="1:2" ht="15" thickBot="1" x14ac:dyDescent="0.45">
      <c r="A1" s="29" t="s">
        <v>26</v>
      </c>
      <c r="B1" s="30">
        <v>100000</v>
      </c>
    </row>
    <row r="2" spans="1:2" ht="15" thickBot="1" x14ac:dyDescent="0.45">
      <c r="A2" s="8"/>
      <c r="B2" s="5"/>
    </row>
    <row r="3" spans="1:2" ht="15" thickBot="1" x14ac:dyDescent="0.45">
      <c r="A3" s="29" t="s">
        <v>25</v>
      </c>
      <c r="B3" s="31">
        <v>252</v>
      </c>
    </row>
    <row r="4" spans="1:2" ht="15" thickBot="1" x14ac:dyDescent="0.45"/>
    <row r="5" spans="1:2" x14ac:dyDescent="0.4">
      <c r="A5" s="18" t="s">
        <v>29</v>
      </c>
      <c r="B5" s="19" t="s">
        <v>13</v>
      </c>
    </row>
    <row r="6" spans="1:2" x14ac:dyDescent="0.4">
      <c r="A6" s="16" t="s">
        <v>9</v>
      </c>
      <c r="B6" s="27">
        <v>0.4</v>
      </c>
    </row>
    <row r="7" spans="1:2" x14ac:dyDescent="0.4">
      <c r="A7" s="16" t="s">
        <v>10</v>
      </c>
      <c r="B7" s="27">
        <v>0.25</v>
      </c>
    </row>
    <row r="8" spans="1:2" x14ac:dyDescent="0.4">
      <c r="A8" s="16" t="s">
        <v>11</v>
      </c>
      <c r="B8" s="27">
        <v>0.25</v>
      </c>
    </row>
    <row r="9" spans="1:2" ht="15" thickBot="1" x14ac:dyDescent="0.45">
      <c r="A9" s="17" t="s">
        <v>12</v>
      </c>
      <c r="B9" s="28">
        <v>0.1</v>
      </c>
    </row>
    <row r="11" spans="1:2" x14ac:dyDescent="0.4">
      <c r="A11" s="8" t="s">
        <v>17</v>
      </c>
      <c r="B11" s="23">
        <f>Var_Calcs!B11</f>
        <v>3.9480199634164405E-5</v>
      </c>
    </row>
    <row r="12" spans="1:2" x14ac:dyDescent="0.4">
      <c r="A12" s="8" t="s">
        <v>18</v>
      </c>
      <c r="B12" s="23">
        <f>Var_Calcs!B12</f>
        <v>6.2833271150055849E-3</v>
      </c>
    </row>
    <row r="14" spans="1:2" ht="15" thickBot="1" x14ac:dyDescent="0.45">
      <c r="A14" s="32" t="s">
        <v>27</v>
      </c>
      <c r="B14" s="33"/>
    </row>
    <row r="15" spans="1:2" x14ac:dyDescent="0.4">
      <c r="A15" s="11">
        <v>0.9</v>
      </c>
      <c r="B15" s="24">
        <f>-_xlfn.PERCENTILE.INC(Returns!G2:G251,1-Inputs!A15)</f>
        <v>654.19827309565892</v>
      </c>
    </row>
    <row r="16" spans="1:2" x14ac:dyDescent="0.4">
      <c r="A16" s="13">
        <v>0.95</v>
      </c>
      <c r="B16" s="20">
        <f>-_xlfn.PERCENTILE.INC(Returns!G3:G252,1-Inputs!A16)</f>
        <v>1044.3786998193239</v>
      </c>
    </row>
    <row r="17" spans="1:2" ht="15" thickBot="1" x14ac:dyDescent="0.45">
      <c r="A17" s="21">
        <v>0.99</v>
      </c>
      <c r="B17" s="22">
        <f>-_xlfn.PERCENTILE.INC(Returns!G4:G253,1-Inputs!A17)</f>
        <v>1560.6414469624365</v>
      </c>
    </row>
    <row r="18" spans="1:2" x14ac:dyDescent="0.4">
      <c r="A18" s="2"/>
      <c r="B18" s="7"/>
    </row>
    <row r="19" spans="1:2" ht="15" thickBot="1" x14ac:dyDescent="0.45">
      <c r="A19" s="32" t="s">
        <v>28</v>
      </c>
      <c r="B19" s="33"/>
    </row>
    <row r="20" spans="1:2" x14ac:dyDescent="0.4">
      <c r="A20" s="11" t="s">
        <v>21</v>
      </c>
      <c r="B20" s="12">
        <v>10</v>
      </c>
    </row>
    <row r="21" spans="1:2" x14ac:dyDescent="0.4">
      <c r="A21" s="13" t="s">
        <v>15</v>
      </c>
      <c r="B21" s="14">
        <f>(B20/B3)*B1*((Var_Calcs!B8*Inputs!B6)+(Var_Calcs!C8*Inputs!B7)+(Var_Calcs!D8*Inputs!B8)+(Var_Calcs!E8*Inputs!B9))</f>
        <v>238.0952380952381</v>
      </c>
    </row>
    <row r="22" spans="1:2" x14ac:dyDescent="0.4">
      <c r="A22" s="13" t="s">
        <v>22</v>
      </c>
      <c r="B22" s="15">
        <v>0.95</v>
      </c>
    </row>
    <row r="23" spans="1:2" x14ac:dyDescent="0.4">
      <c r="A23" s="16" t="s">
        <v>23</v>
      </c>
      <c r="B23" s="25">
        <f>_xlfn.NORM.S.INV(B22)</f>
        <v>1.6448536269514715</v>
      </c>
    </row>
    <row r="24" spans="1:2" x14ac:dyDescent="0.4">
      <c r="A24" s="16"/>
      <c r="B24" s="15"/>
    </row>
    <row r="25" spans="1:2" ht="15" thickBot="1" x14ac:dyDescent="0.45">
      <c r="A25" s="17" t="s">
        <v>24</v>
      </c>
      <c r="B25" s="26">
        <f>B1*B12*B23*SQRT(B20)</f>
        <v>3268.2624693649309</v>
      </c>
    </row>
  </sheetData>
  <mergeCells count="2">
    <mergeCell ref="A14:B14"/>
    <mergeCell ref="A19:B19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2"/>
  <sheetViews>
    <sheetView workbookViewId="0">
      <selection activeCell="C2" sqref="C2"/>
    </sheetView>
  </sheetViews>
  <sheetFormatPr defaultRowHeight="14.6" x14ac:dyDescent="0.4"/>
  <cols>
    <col min="1" max="1" width="10.3828125" style="1" bestFit="1" customWidth="1"/>
    <col min="2" max="2" width="9.07421875" style="1" bestFit="1" customWidth="1"/>
    <col min="3" max="3" width="0.921875" style="1" customWidth="1"/>
    <col min="4" max="4" width="9.84375" style="1" bestFit="1" customWidth="1"/>
    <col min="5" max="5" width="0.921875" style="1" customWidth="1"/>
    <col min="6" max="6" width="9.3046875" style="1" bestFit="1" customWidth="1"/>
    <col min="7" max="7" width="0.921875" style="1" customWidth="1"/>
    <col min="8" max="8" width="9" style="1" bestFit="1" customWidth="1"/>
    <col min="9" max="11" width="9.23046875" style="1"/>
  </cols>
  <sheetData>
    <row r="1" spans="1:8" x14ac:dyDescent="0.4">
      <c r="A1" s="1" t="s">
        <v>0</v>
      </c>
      <c r="B1" s="1" t="s">
        <v>1</v>
      </c>
      <c r="D1" s="1" t="s">
        <v>3</v>
      </c>
      <c r="F1" s="1" t="s">
        <v>5</v>
      </c>
      <c r="H1" s="1" t="s">
        <v>7</v>
      </c>
    </row>
    <row r="2" spans="1:8" x14ac:dyDescent="0.4">
      <c r="A2" s="6">
        <v>46134</v>
      </c>
      <c r="B2" s="1">
        <v>711.21</v>
      </c>
      <c r="D2" s="1">
        <v>655.11</v>
      </c>
      <c r="F2" s="1">
        <v>99.61</v>
      </c>
      <c r="H2" s="1">
        <v>435.26</v>
      </c>
    </row>
    <row r="3" spans="1:8" x14ac:dyDescent="0.4">
      <c r="A3" s="6">
        <v>46133</v>
      </c>
      <c r="B3" s="1">
        <v>704.08</v>
      </c>
      <c r="D3" s="1">
        <v>644.33000000000004</v>
      </c>
      <c r="F3" s="1">
        <v>99.47</v>
      </c>
      <c r="H3" s="1">
        <v>429.57</v>
      </c>
    </row>
    <row r="4" spans="1:8" x14ac:dyDescent="0.4">
      <c r="A4" s="6">
        <v>46132</v>
      </c>
      <c r="B4" s="1">
        <v>710.14</v>
      </c>
      <c r="D4" s="1">
        <v>646.79</v>
      </c>
      <c r="F4" s="1">
        <v>99.84</v>
      </c>
      <c r="H4" s="1">
        <v>445.93</v>
      </c>
    </row>
    <row r="5" spans="1:8" x14ac:dyDescent="0.4">
      <c r="A5" s="6">
        <v>46129</v>
      </c>
      <c r="B5" s="1">
        <v>710.14</v>
      </c>
      <c r="D5" s="1">
        <v>648.85</v>
      </c>
      <c r="F5" s="1">
        <v>99.85</v>
      </c>
      <c r="H5" s="1">
        <v>445.93</v>
      </c>
    </row>
    <row r="6" spans="1:8" x14ac:dyDescent="0.4">
      <c r="A6" s="6">
        <v>46128</v>
      </c>
      <c r="B6" s="1">
        <v>701.66</v>
      </c>
      <c r="D6" s="1">
        <v>640.47</v>
      </c>
      <c r="F6" s="1">
        <v>99.48</v>
      </c>
      <c r="H6" s="1">
        <v>440.08</v>
      </c>
    </row>
    <row r="7" spans="1:8" x14ac:dyDescent="0.4">
      <c r="A7" s="6">
        <v>46127</v>
      </c>
      <c r="B7" s="1">
        <v>699.94</v>
      </c>
      <c r="D7" s="1">
        <v>637.4</v>
      </c>
      <c r="F7" s="1">
        <v>99.62</v>
      </c>
      <c r="H7" s="1">
        <v>440.46</v>
      </c>
    </row>
    <row r="8" spans="1:8" x14ac:dyDescent="0.4">
      <c r="A8" s="6">
        <v>46126</v>
      </c>
      <c r="B8" s="1">
        <v>694.46</v>
      </c>
      <c r="D8" s="1">
        <v>628.6</v>
      </c>
      <c r="F8" s="1">
        <v>99.78</v>
      </c>
      <c r="H8" s="1">
        <v>445.09</v>
      </c>
    </row>
    <row r="9" spans="1:8" x14ac:dyDescent="0.4">
      <c r="A9" s="6">
        <v>46125</v>
      </c>
      <c r="B9" s="1">
        <v>686.1</v>
      </c>
      <c r="D9" s="1">
        <v>617.39</v>
      </c>
      <c r="F9" s="1">
        <v>99.52</v>
      </c>
      <c r="H9" s="1">
        <v>435.36</v>
      </c>
    </row>
    <row r="10" spans="1:8" x14ac:dyDescent="0.4">
      <c r="A10" s="6">
        <v>46122</v>
      </c>
      <c r="B10" s="1">
        <v>679.46</v>
      </c>
      <c r="D10" s="1">
        <v>611.07000000000005</v>
      </c>
      <c r="F10" s="1">
        <v>99.32</v>
      </c>
      <c r="H10" s="1">
        <v>437.13</v>
      </c>
    </row>
    <row r="11" spans="1:8" x14ac:dyDescent="0.4">
      <c r="A11" s="6">
        <v>46121</v>
      </c>
      <c r="B11" s="1">
        <v>679.91</v>
      </c>
      <c r="D11" s="1">
        <v>610.19000000000005</v>
      </c>
      <c r="F11" s="1">
        <v>99.49</v>
      </c>
      <c r="H11" s="1">
        <v>437.91</v>
      </c>
    </row>
    <row r="12" spans="1:8" x14ac:dyDescent="0.4">
      <c r="A12" s="6">
        <v>46120</v>
      </c>
      <c r="B12" s="1">
        <v>676.01</v>
      </c>
      <c r="D12" s="1">
        <v>606.09</v>
      </c>
      <c r="F12" s="1">
        <v>99.43</v>
      </c>
      <c r="H12" s="1">
        <v>434.53</v>
      </c>
    </row>
    <row r="13" spans="1:8" x14ac:dyDescent="0.4">
      <c r="A13" s="6">
        <v>46119</v>
      </c>
      <c r="B13" s="1">
        <v>659.22</v>
      </c>
      <c r="D13" s="1">
        <v>588.59</v>
      </c>
      <c r="F13" s="1">
        <v>99.17</v>
      </c>
      <c r="H13" s="1">
        <v>431.81</v>
      </c>
    </row>
    <row r="14" spans="1:8" x14ac:dyDescent="0.4">
      <c r="A14" s="6">
        <v>46118</v>
      </c>
      <c r="B14" s="1">
        <v>658.93</v>
      </c>
      <c r="D14" s="1">
        <v>588.5</v>
      </c>
      <c r="F14" s="1">
        <v>99.05</v>
      </c>
      <c r="H14" s="1">
        <v>427.65</v>
      </c>
    </row>
    <row r="15" spans="1:8" x14ac:dyDescent="0.4">
      <c r="A15" s="6">
        <v>46114</v>
      </c>
      <c r="B15" s="1">
        <v>655.83</v>
      </c>
      <c r="D15" s="1">
        <v>584.98</v>
      </c>
      <c r="F15" s="1">
        <v>99.23</v>
      </c>
      <c r="H15" s="1">
        <v>429.41</v>
      </c>
    </row>
    <row r="16" spans="1:8" x14ac:dyDescent="0.4">
      <c r="A16" s="6">
        <v>46113</v>
      </c>
      <c r="B16" s="1">
        <v>655.24</v>
      </c>
      <c r="D16" s="1">
        <v>584.30999999999995</v>
      </c>
      <c r="F16" s="1">
        <v>99</v>
      </c>
      <c r="H16" s="1">
        <v>437.82</v>
      </c>
    </row>
    <row r="17" spans="1:8" x14ac:dyDescent="0.4">
      <c r="A17" s="6">
        <v>46112</v>
      </c>
      <c r="B17" s="1">
        <v>650.34</v>
      </c>
      <c r="D17" s="1">
        <v>577.17999999999995</v>
      </c>
      <c r="F17" s="1">
        <v>99.27</v>
      </c>
      <c r="H17" s="1">
        <v>430.29</v>
      </c>
    </row>
    <row r="18" spans="1:8" x14ac:dyDescent="0.4">
      <c r="A18" s="6">
        <v>46111</v>
      </c>
      <c r="B18" s="1">
        <v>631.97</v>
      </c>
      <c r="D18" s="1">
        <v>558.28</v>
      </c>
      <c r="F18" s="1">
        <v>99.04</v>
      </c>
      <c r="H18" s="1">
        <v>414.58</v>
      </c>
    </row>
    <row r="19" spans="1:8" x14ac:dyDescent="0.4">
      <c r="A19" s="6">
        <v>46108</v>
      </c>
      <c r="B19" s="1">
        <v>634.09</v>
      </c>
      <c r="D19" s="1">
        <v>562.58000000000004</v>
      </c>
      <c r="F19" s="1">
        <v>98.54</v>
      </c>
      <c r="H19" s="1">
        <v>414.7</v>
      </c>
    </row>
    <row r="20" spans="1:8" x14ac:dyDescent="0.4">
      <c r="A20" s="6">
        <v>46107</v>
      </c>
      <c r="B20" s="1">
        <v>645.09</v>
      </c>
      <c r="D20" s="1">
        <v>573.79</v>
      </c>
      <c r="F20" s="1">
        <v>98.55</v>
      </c>
      <c r="H20" s="1">
        <v>400.64</v>
      </c>
    </row>
    <row r="21" spans="1:8" x14ac:dyDescent="0.4">
      <c r="A21" s="6">
        <v>46106</v>
      </c>
      <c r="B21" s="1">
        <v>656.82</v>
      </c>
      <c r="D21" s="1">
        <v>587.82000000000005</v>
      </c>
      <c r="F21" s="1">
        <v>99.11</v>
      </c>
      <c r="H21" s="1">
        <v>416.29</v>
      </c>
    </row>
    <row r="22" spans="1:8" x14ac:dyDescent="0.4">
      <c r="A22" s="6">
        <v>46105</v>
      </c>
      <c r="B22" s="1">
        <v>653.17999999999995</v>
      </c>
      <c r="D22" s="1">
        <v>583.98</v>
      </c>
      <c r="F22" s="1">
        <v>98.76</v>
      </c>
      <c r="H22" s="1">
        <v>404.13</v>
      </c>
    </row>
    <row r="23" spans="1:8" x14ac:dyDescent="0.4">
      <c r="A23" s="6">
        <v>46104</v>
      </c>
      <c r="B23" s="1">
        <v>655.38</v>
      </c>
      <c r="D23" s="1">
        <v>588</v>
      </c>
      <c r="F23" s="1">
        <v>99.03</v>
      </c>
      <c r="H23" s="1">
        <v>404.04</v>
      </c>
    </row>
    <row r="24" spans="1:8" x14ac:dyDescent="0.4">
      <c r="A24" s="6">
        <v>46101</v>
      </c>
      <c r="B24" s="1">
        <v>648.57000000000005</v>
      </c>
      <c r="D24" s="1">
        <v>582.05999999999995</v>
      </c>
      <c r="F24" s="1">
        <v>98.66</v>
      </c>
      <c r="H24" s="1">
        <v>413.38</v>
      </c>
    </row>
    <row r="25" spans="1:8" x14ac:dyDescent="0.4">
      <c r="A25" s="6">
        <v>46100</v>
      </c>
      <c r="B25" s="1">
        <v>659.8</v>
      </c>
      <c r="D25" s="1">
        <v>593.02</v>
      </c>
      <c r="F25" s="1">
        <v>99.49</v>
      </c>
      <c r="H25" s="1">
        <v>426.41</v>
      </c>
    </row>
    <row r="26" spans="1:8" x14ac:dyDescent="0.4">
      <c r="A26" s="6">
        <v>46099</v>
      </c>
      <c r="B26" s="1">
        <v>661.43</v>
      </c>
      <c r="D26" s="1">
        <v>594.9</v>
      </c>
      <c r="F26" s="1">
        <v>99.38</v>
      </c>
      <c r="H26" s="1">
        <v>444.74</v>
      </c>
    </row>
    <row r="27" spans="1:8" x14ac:dyDescent="0.4">
      <c r="A27" s="6">
        <v>46098</v>
      </c>
      <c r="B27" s="1">
        <v>670.79</v>
      </c>
      <c r="D27" s="1">
        <v>603.30999999999995</v>
      </c>
      <c r="F27" s="1">
        <v>99.8</v>
      </c>
      <c r="H27" s="1">
        <v>459.27</v>
      </c>
    </row>
    <row r="28" spans="1:8" x14ac:dyDescent="0.4">
      <c r="A28" s="6">
        <v>46097</v>
      </c>
      <c r="B28" s="1">
        <v>669.03</v>
      </c>
      <c r="D28" s="1">
        <v>600.38</v>
      </c>
      <c r="F28" s="1">
        <v>99.6</v>
      </c>
      <c r="H28" s="1">
        <v>460.43</v>
      </c>
    </row>
    <row r="29" spans="1:8" x14ac:dyDescent="0.4">
      <c r="A29" s="6">
        <v>46094</v>
      </c>
      <c r="B29" s="1">
        <v>662.29</v>
      </c>
      <c r="D29" s="1">
        <v>593.72</v>
      </c>
      <c r="F29" s="1">
        <v>99.21</v>
      </c>
      <c r="H29" s="1">
        <v>460.84</v>
      </c>
    </row>
    <row r="30" spans="1:8" x14ac:dyDescent="0.4">
      <c r="A30" s="6">
        <v>46093</v>
      </c>
      <c r="B30" s="1">
        <v>666.06</v>
      </c>
      <c r="D30" s="1">
        <v>597.26</v>
      </c>
      <c r="F30" s="1">
        <v>99.29</v>
      </c>
      <c r="H30" s="1">
        <v>466.88</v>
      </c>
    </row>
    <row r="31" spans="1:8" x14ac:dyDescent="0.4">
      <c r="A31" s="6">
        <v>46092</v>
      </c>
      <c r="B31" s="1">
        <v>676.33</v>
      </c>
      <c r="D31" s="1">
        <v>607.69000000000005</v>
      </c>
      <c r="F31" s="1">
        <v>99.66</v>
      </c>
      <c r="H31" s="1">
        <v>476.24</v>
      </c>
    </row>
    <row r="32" spans="1:8" x14ac:dyDescent="0.4">
      <c r="A32" s="6">
        <v>46091</v>
      </c>
      <c r="B32" s="1">
        <v>677.18</v>
      </c>
      <c r="D32" s="1">
        <v>607.77</v>
      </c>
      <c r="F32" s="1">
        <v>100.11</v>
      </c>
      <c r="H32" s="1">
        <v>477.86</v>
      </c>
    </row>
    <row r="33" spans="1:8" x14ac:dyDescent="0.4">
      <c r="A33" s="6">
        <v>46090</v>
      </c>
      <c r="B33" s="1">
        <v>678.27</v>
      </c>
      <c r="D33" s="1">
        <v>607.76</v>
      </c>
      <c r="F33" s="1">
        <v>100.44</v>
      </c>
      <c r="H33" s="1">
        <v>472.53</v>
      </c>
    </row>
    <row r="34" spans="1:8" x14ac:dyDescent="0.4">
      <c r="A34" s="6">
        <v>46087</v>
      </c>
      <c r="B34" s="1">
        <v>672.38</v>
      </c>
      <c r="D34" s="1">
        <v>599.75</v>
      </c>
      <c r="F34" s="1">
        <v>100.12</v>
      </c>
      <c r="H34" s="1">
        <v>473.51</v>
      </c>
    </row>
    <row r="35" spans="1:8" x14ac:dyDescent="0.4">
      <c r="A35" s="6">
        <v>46086</v>
      </c>
      <c r="B35" s="1">
        <v>681.31</v>
      </c>
      <c r="D35" s="1">
        <v>608.91</v>
      </c>
      <c r="F35" s="1">
        <v>100.24</v>
      </c>
      <c r="H35" s="1">
        <v>466.13</v>
      </c>
    </row>
    <row r="36" spans="1:8" x14ac:dyDescent="0.4">
      <c r="A36" s="6">
        <v>46085</v>
      </c>
      <c r="B36" s="1">
        <v>685.13</v>
      </c>
      <c r="D36" s="1">
        <v>610.75</v>
      </c>
      <c r="F36" s="1">
        <v>100.53</v>
      </c>
      <c r="H36" s="1">
        <v>471.8</v>
      </c>
    </row>
    <row r="37" spans="1:8" x14ac:dyDescent="0.4">
      <c r="A37" s="6">
        <v>46084</v>
      </c>
      <c r="B37" s="1">
        <v>680.33</v>
      </c>
      <c r="D37" s="1">
        <v>601.58000000000004</v>
      </c>
      <c r="F37" s="1">
        <v>100.57</v>
      </c>
      <c r="H37" s="1">
        <v>468.14</v>
      </c>
    </row>
    <row r="38" spans="1:8" x14ac:dyDescent="0.4">
      <c r="A38" s="6">
        <v>46083</v>
      </c>
      <c r="B38" s="1">
        <v>686.38</v>
      </c>
      <c r="D38" s="1">
        <v>608.09</v>
      </c>
      <c r="F38" s="1">
        <v>100.68</v>
      </c>
      <c r="H38" s="1">
        <v>490</v>
      </c>
    </row>
    <row r="39" spans="1:8" x14ac:dyDescent="0.4">
      <c r="A39" s="6">
        <v>46080</v>
      </c>
      <c r="B39" s="1">
        <v>685.99</v>
      </c>
      <c r="D39" s="1">
        <v>607.29</v>
      </c>
      <c r="F39" s="1">
        <v>101.4</v>
      </c>
      <c r="H39" s="1">
        <v>483.75</v>
      </c>
    </row>
    <row r="40" spans="1:8" x14ac:dyDescent="0.4">
      <c r="A40" s="6">
        <v>46079</v>
      </c>
      <c r="B40" s="1">
        <v>689.3</v>
      </c>
      <c r="D40" s="1">
        <v>609.24</v>
      </c>
      <c r="F40" s="1">
        <v>101.2</v>
      </c>
      <c r="H40" s="1">
        <v>477.48</v>
      </c>
    </row>
    <row r="41" spans="1:8" x14ac:dyDescent="0.4">
      <c r="A41" s="6">
        <v>46078</v>
      </c>
      <c r="B41" s="1">
        <v>693.15</v>
      </c>
      <c r="D41" s="1">
        <v>616.67999999999995</v>
      </c>
      <c r="F41" s="1">
        <v>101.04</v>
      </c>
      <c r="H41" s="1">
        <v>473.42</v>
      </c>
    </row>
    <row r="42" spans="1:8" x14ac:dyDescent="0.4">
      <c r="A42" s="6">
        <v>46077</v>
      </c>
      <c r="B42" s="1">
        <v>687.35</v>
      </c>
      <c r="D42" s="1">
        <v>607.87</v>
      </c>
      <c r="F42" s="1">
        <v>101.09</v>
      </c>
      <c r="H42" s="1">
        <v>474.61</v>
      </c>
    </row>
    <row r="43" spans="1:8" x14ac:dyDescent="0.4">
      <c r="A43" s="6">
        <v>46076</v>
      </c>
      <c r="B43" s="1">
        <v>682.39</v>
      </c>
      <c r="D43" s="1">
        <v>601.41</v>
      </c>
      <c r="F43" s="1">
        <v>101.1</v>
      </c>
      <c r="H43" s="1">
        <v>481.28</v>
      </c>
    </row>
    <row r="44" spans="1:8" x14ac:dyDescent="0.4">
      <c r="A44" s="6">
        <v>46073</v>
      </c>
      <c r="B44" s="1">
        <v>689.43</v>
      </c>
      <c r="D44" s="1">
        <v>608.80999999999995</v>
      </c>
      <c r="F44" s="1">
        <v>100.9</v>
      </c>
      <c r="H44" s="1">
        <v>468.62</v>
      </c>
    </row>
    <row r="45" spans="1:8" x14ac:dyDescent="0.4">
      <c r="A45" s="6">
        <v>46072</v>
      </c>
      <c r="B45" s="1">
        <v>684.48</v>
      </c>
      <c r="D45" s="1">
        <v>603.47</v>
      </c>
      <c r="F45" s="1">
        <v>100.88</v>
      </c>
      <c r="H45" s="1">
        <v>459.56</v>
      </c>
    </row>
    <row r="46" spans="1:8" x14ac:dyDescent="0.4">
      <c r="A46" s="6">
        <v>46071</v>
      </c>
      <c r="B46" s="1">
        <v>686.29</v>
      </c>
      <c r="D46" s="1">
        <v>605.79</v>
      </c>
      <c r="F46" s="1">
        <v>100.86</v>
      </c>
      <c r="H46" s="1">
        <v>458.28</v>
      </c>
    </row>
    <row r="47" spans="1:8" x14ac:dyDescent="0.4">
      <c r="A47" s="6">
        <v>46070</v>
      </c>
      <c r="B47" s="1">
        <v>682.85</v>
      </c>
      <c r="D47" s="1">
        <v>601.29999999999995</v>
      </c>
      <c r="F47" s="1">
        <v>101</v>
      </c>
      <c r="H47" s="1">
        <v>448.2</v>
      </c>
    </row>
    <row r="48" spans="1:8" x14ac:dyDescent="0.4">
      <c r="A48" s="6">
        <v>46066</v>
      </c>
      <c r="B48" s="1">
        <v>681.75</v>
      </c>
      <c r="D48" s="1">
        <v>601.91999999999996</v>
      </c>
      <c r="F48" s="1">
        <v>100.99</v>
      </c>
      <c r="H48" s="1">
        <v>462.62</v>
      </c>
    </row>
    <row r="49" spans="1:8" x14ac:dyDescent="0.4">
      <c r="A49" s="6">
        <v>46065</v>
      </c>
      <c r="B49" s="1">
        <v>681.27</v>
      </c>
      <c r="D49" s="1">
        <v>600.64</v>
      </c>
      <c r="F49" s="1">
        <v>100.67</v>
      </c>
      <c r="H49" s="1">
        <v>451.39</v>
      </c>
    </row>
    <row r="50" spans="1:8" x14ac:dyDescent="0.4">
      <c r="A50" s="6">
        <v>46064</v>
      </c>
      <c r="B50" s="1">
        <v>691.96</v>
      </c>
      <c r="D50" s="1">
        <v>613.11</v>
      </c>
      <c r="F50" s="1">
        <v>100.22</v>
      </c>
      <c r="H50" s="1">
        <v>467.63</v>
      </c>
    </row>
    <row r="51" spans="1:8" x14ac:dyDescent="0.4">
      <c r="A51" s="6">
        <v>46063</v>
      </c>
      <c r="B51" s="1">
        <v>692.12</v>
      </c>
      <c r="D51" s="1">
        <v>611.47</v>
      </c>
      <c r="F51" s="1">
        <v>100.45</v>
      </c>
      <c r="H51" s="1">
        <v>462.4</v>
      </c>
    </row>
    <row r="52" spans="1:8" x14ac:dyDescent="0.4">
      <c r="A52" s="6">
        <v>46062</v>
      </c>
      <c r="B52" s="1">
        <v>693.95</v>
      </c>
      <c r="D52" s="1">
        <v>614.32000000000005</v>
      </c>
      <c r="F52" s="1">
        <v>100.16</v>
      </c>
      <c r="H52" s="1">
        <v>467.03</v>
      </c>
    </row>
    <row r="53" spans="1:8" x14ac:dyDescent="0.4">
      <c r="A53" s="6">
        <v>46059</v>
      </c>
      <c r="B53" s="1">
        <v>690.62</v>
      </c>
      <c r="D53" s="1">
        <v>609.65</v>
      </c>
      <c r="F53" s="1">
        <v>100.13</v>
      </c>
      <c r="H53" s="1">
        <v>455.46</v>
      </c>
    </row>
    <row r="54" spans="1:8" x14ac:dyDescent="0.4">
      <c r="A54" s="6">
        <v>46058</v>
      </c>
      <c r="B54" s="1">
        <v>677.62</v>
      </c>
      <c r="D54" s="1">
        <v>597.03</v>
      </c>
      <c r="F54" s="1">
        <v>100.07</v>
      </c>
      <c r="H54" s="1">
        <v>441.88</v>
      </c>
    </row>
    <row r="55" spans="1:8" x14ac:dyDescent="0.4">
      <c r="A55" s="6">
        <v>46057</v>
      </c>
      <c r="B55" s="1">
        <v>686.19</v>
      </c>
      <c r="D55" s="1">
        <v>605.75</v>
      </c>
      <c r="F55" s="1">
        <v>99.64</v>
      </c>
      <c r="H55" s="1">
        <v>453.97</v>
      </c>
    </row>
    <row r="56" spans="1:8" x14ac:dyDescent="0.4">
      <c r="A56" s="6">
        <v>46056</v>
      </c>
      <c r="B56" s="1">
        <v>689.53</v>
      </c>
      <c r="D56" s="1">
        <v>616.52</v>
      </c>
      <c r="F56" s="1">
        <v>99.7</v>
      </c>
      <c r="H56" s="1">
        <v>454.29</v>
      </c>
    </row>
    <row r="57" spans="1:8" x14ac:dyDescent="0.4">
      <c r="A57" s="6">
        <v>46055</v>
      </c>
      <c r="B57" s="1">
        <v>695.41</v>
      </c>
      <c r="D57" s="1">
        <v>626.14</v>
      </c>
      <c r="F57" s="1">
        <v>99.69</v>
      </c>
      <c r="H57" s="1">
        <v>427.13</v>
      </c>
    </row>
    <row r="58" spans="1:8" x14ac:dyDescent="0.4">
      <c r="A58" s="6">
        <v>46052</v>
      </c>
      <c r="B58" s="1">
        <v>691.97</v>
      </c>
      <c r="D58" s="1">
        <v>621.87</v>
      </c>
      <c r="F58" s="1">
        <v>100.13</v>
      </c>
      <c r="H58" s="1">
        <v>444.95</v>
      </c>
    </row>
    <row r="59" spans="1:8" x14ac:dyDescent="0.4">
      <c r="A59" s="6">
        <v>46051</v>
      </c>
      <c r="B59" s="1">
        <v>694.04</v>
      </c>
      <c r="D59" s="1">
        <v>629.42999999999995</v>
      </c>
      <c r="F59" s="1">
        <v>100.15</v>
      </c>
      <c r="H59" s="1">
        <v>495.9</v>
      </c>
    </row>
    <row r="60" spans="1:8" x14ac:dyDescent="0.4">
      <c r="A60" s="6">
        <v>46050</v>
      </c>
      <c r="B60" s="1">
        <v>695.42</v>
      </c>
      <c r="D60" s="1">
        <v>633.22</v>
      </c>
      <c r="F60" s="1">
        <v>100.15</v>
      </c>
      <c r="H60" s="1">
        <v>494.56</v>
      </c>
    </row>
    <row r="61" spans="1:8" x14ac:dyDescent="0.4">
      <c r="A61" s="6">
        <v>46049</v>
      </c>
      <c r="B61" s="1">
        <v>695.49</v>
      </c>
      <c r="D61" s="1">
        <v>631.13</v>
      </c>
      <c r="F61" s="1">
        <v>100.19</v>
      </c>
      <c r="H61" s="1">
        <v>476.1</v>
      </c>
    </row>
    <row r="62" spans="1:8" x14ac:dyDescent="0.4">
      <c r="A62" s="6">
        <v>46048</v>
      </c>
      <c r="B62" s="1">
        <v>692.73</v>
      </c>
      <c r="D62" s="1">
        <v>625.46</v>
      </c>
      <c r="F62" s="1">
        <v>100.26</v>
      </c>
      <c r="H62" s="1">
        <v>464.7</v>
      </c>
    </row>
    <row r="63" spans="1:8" x14ac:dyDescent="0.4">
      <c r="A63" s="6">
        <v>46045</v>
      </c>
      <c r="B63" s="1">
        <v>689.23</v>
      </c>
      <c r="D63" s="1">
        <v>622.72</v>
      </c>
      <c r="F63" s="1">
        <v>100.11</v>
      </c>
      <c r="H63" s="1">
        <v>458</v>
      </c>
    </row>
    <row r="64" spans="1:8" x14ac:dyDescent="0.4">
      <c r="A64" s="6">
        <v>46044</v>
      </c>
      <c r="B64" s="1">
        <v>688.98</v>
      </c>
      <c r="D64" s="1">
        <v>620.76</v>
      </c>
      <c r="F64" s="1">
        <v>100.02</v>
      </c>
      <c r="H64" s="1">
        <v>451.79</v>
      </c>
    </row>
    <row r="65" spans="1:8" x14ac:dyDescent="0.4">
      <c r="A65" s="6">
        <v>46043</v>
      </c>
      <c r="B65" s="1">
        <v>685.4</v>
      </c>
      <c r="D65" s="1">
        <v>616.28</v>
      </c>
      <c r="F65" s="1">
        <v>100</v>
      </c>
      <c r="H65" s="1">
        <v>443.6</v>
      </c>
    </row>
    <row r="66" spans="1:8" x14ac:dyDescent="0.4">
      <c r="A66" s="6">
        <v>46042</v>
      </c>
      <c r="B66" s="1">
        <v>677.58</v>
      </c>
      <c r="D66" s="1">
        <v>608.05999999999995</v>
      </c>
      <c r="F66" s="1">
        <v>99.67</v>
      </c>
      <c r="H66" s="1">
        <v>437.23</v>
      </c>
    </row>
    <row r="67" spans="1:8" x14ac:dyDescent="0.4">
      <c r="A67" s="6">
        <v>46038</v>
      </c>
      <c r="B67" s="1">
        <v>691.66</v>
      </c>
      <c r="D67" s="1">
        <v>621.26</v>
      </c>
      <c r="F67" s="1">
        <v>100.05</v>
      </c>
      <c r="H67" s="1">
        <v>421.29</v>
      </c>
    </row>
    <row r="68" spans="1:8" x14ac:dyDescent="0.4">
      <c r="A68" s="6">
        <v>46037</v>
      </c>
      <c r="B68" s="1">
        <v>692.24</v>
      </c>
      <c r="D68" s="1">
        <v>621.78</v>
      </c>
      <c r="F68" s="1">
        <v>100.22</v>
      </c>
      <c r="H68" s="1">
        <v>423.33</v>
      </c>
    </row>
    <row r="69" spans="1:8" x14ac:dyDescent="0.4">
      <c r="A69" s="6">
        <v>46036</v>
      </c>
      <c r="B69" s="1">
        <v>690.36</v>
      </c>
      <c r="D69" s="1">
        <v>619.54999999999995</v>
      </c>
      <c r="F69" s="1">
        <v>100.35</v>
      </c>
      <c r="H69" s="1">
        <v>425.94</v>
      </c>
    </row>
    <row r="70" spans="1:8" x14ac:dyDescent="0.4">
      <c r="A70" s="6">
        <v>46035</v>
      </c>
      <c r="B70" s="1">
        <v>693.77</v>
      </c>
      <c r="D70" s="1">
        <v>626.24</v>
      </c>
      <c r="F70" s="1">
        <v>100.2</v>
      </c>
      <c r="H70" s="1">
        <v>421.63</v>
      </c>
    </row>
    <row r="71" spans="1:8" x14ac:dyDescent="0.4">
      <c r="A71" s="6">
        <v>46034</v>
      </c>
      <c r="B71" s="1">
        <v>695.16</v>
      </c>
      <c r="D71" s="1">
        <v>627.16999999999996</v>
      </c>
      <c r="F71" s="1">
        <v>100.11</v>
      </c>
      <c r="H71" s="1">
        <v>422.23</v>
      </c>
    </row>
    <row r="72" spans="1:8" x14ac:dyDescent="0.4">
      <c r="A72" s="6">
        <v>46031</v>
      </c>
      <c r="B72" s="1">
        <v>694.07</v>
      </c>
      <c r="D72" s="1">
        <v>626.65</v>
      </c>
      <c r="F72" s="1">
        <v>100.16</v>
      </c>
      <c r="H72" s="1">
        <v>414.47</v>
      </c>
    </row>
    <row r="73" spans="1:8" x14ac:dyDescent="0.4">
      <c r="A73" s="6">
        <v>46030</v>
      </c>
      <c r="B73" s="1">
        <v>689.51</v>
      </c>
      <c r="D73" s="1">
        <v>620.47</v>
      </c>
      <c r="F73" s="1">
        <v>99.94</v>
      </c>
      <c r="H73" s="1">
        <v>411.49</v>
      </c>
    </row>
    <row r="74" spans="1:8" x14ac:dyDescent="0.4">
      <c r="A74" s="6">
        <v>46029</v>
      </c>
      <c r="B74" s="1">
        <v>689.58</v>
      </c>
      <c r="D74" s="1">
        <v>624.02</v>
      </c>
      <c r="F74" s="1">
        <v>100.12</v>
      </c>
      <c r="H74" s="1">
        <v>409.23</v>
      </c>
    </row>
    <row r="75" spans="1:8" x14ac:dyDescent="0.4">
      <c r="A75" s="6">
        <v>46028</v>
      </c>
      <c r="B75" s="1">
        <v>691.81</v>
      </c>
      <c r="D75" s="1">
        <v>623.41999999999996</v>
      </c>
      <c r="F75" s="1">
        <v>100.02</v>
      </c>
      <c r="H75" s="1">
        <v>413.18</v>
      </c>
    </row>
    <row r="76" spans="1:8" x14ac:dyDescent="0.4">
      <c r="A76" s="6">
        <v>46027</v>
      </c>
      <c r="B76" s="1">
        <v>687.72</v>
      </c>
      <c r="D76" s="1">
        <v>617.99</v>
      </c>
      <c r="F76" s="1">
        <v>100.04</v>
      </c>
      <c r="H76" s="1">
        <v>408.76</v>
      </c>
    </row>
    <row r="77" spans="1:8" x14ac:dyDescent="0.4">
      <c r="A77" s="6">
        <v>46024</v>
      </c>
      <c r="B77" s="1">
        <v>683.17</v>
      </c>
      <c r="D77" s="1">
        <v>613.12</v>
      </c>
      <c r="F77" s="1">
        <v>99.85</v>
      </c>
      <c r="H77" s="1">
        <v>398.28</v>
      </c>
    </row>
    <row r="78" spans="1:8" x14ac:dyDescent="0.4">
      <c r="A78" s="6">
        <v>46022</v>
      </c>
      <c r="B78" s="1">
        <v>681.92</v>
      </c>
      <c r="D78" s="1">
        <v>614.30999999999995</v>
      </c>
      <c r="F78" s="1">
        <v>99.88</v>
      </c>
      <c r="H78" s="1">
        <v>396.31</v>
      </c>
    </row>
    <row r="79" spans="1:8" x14ac:dyDescent="0.4">
      <c r="A79" s="6">
        <v>46021</v>
      </c>
      <c r="B79" s="1">
        <v>687.01</v>
      </c>
      <c r="D79" s="1">
        <v>619.42999999999995</v>
      </c>
      <c r="F79" s="1">
        <v>100.12</v>
      </c>
      <c r="H79" s="1">
        <v>398.89</v>
      </c>
    </row>
    <row r="80" spans="1:8" x14ac:dyDescent="0.4">
      <c r="A80" s="6">
        <v>46020</v>
      </c>
      <c r="B80" s="1">
        <v>687.85</v>
      </c>
      <c r="D80" s="1">
        <v>620.87</v>
      </c>
      <c r="F80" s="1">
        <v>100.16</v>
      </c>
      <c r="H80" s="1">
        <v>398.6</v>
      </c>
    </row>
    <row r="81" spans="1:8" x14ac:dyDescent="0.4">
      <c r="A81" s="6">
        <v>46017</v>
      </c>
      <c r="B81" s="1">
        <v>690.31</v>
      </c>
      <c r="D81" s="1">
        <v>623.89</v>
      </c>
      <c r="F81" s="1">
        <v>100.04</v>
      </c>
      <c r="H81" s="1">
        <v>416.74</v>
      </c>
    </row>
    <row r="82" spans="1:8" x14ac:dyDescent="0.4">
      <c r="A82" s="6">
        <v>46015</v>
      </c>
      <c r="B82" s="1">
        <v>690.38</v>
      </c>
      <c r="D82" s="1">
        <v>623.92999999999995</v>
      </c>
      <c r="F82" s="1">
        <v>100.02</v>
      </c>
      <c r="H82" s="1">
        <v>411.93</v>
      </c>
    </row>
    <row r="83" spans="1:8" x14ac:dyDescent="0.4">
      <c r="A83" s="6">
        <v>46014</v>
      </c>
      <c r="B83" s="1">
        <v>687.96</v>
      </c>
      <c r="D83" s="1">
        <v>622.11</v>
      </c>
      <c r="F83" s="1">
        <v>99.8</v>
      </c>
      <c r="H83" s="1">
        <v>413.64</v>
      </c>
    </row>
    <row r="84" spans="1:8" x14ac:dyDescent="0.4">
      <c r="A84" s="6">
        <v>46013</v>
      </c>
      <c r="B84" s="1">
        <v>684.83</v>
      </c>
      <c r="D84" s="1">
        <v>619.21</v>
      </c>
      <c r="F84" s="1">
        <v>99.8</v>
      </c>
      <c r="H84" s="1">
        <v>408.23</v>
      </c>
    </row>
    <row r="85" spans="1:8" x14ac:dyDescent="0.4">
      <c r="A85" s="6">
        <v>46010</v>
      </c>
      <c r="B85" s="1">
        <v>680.59</v>
      </c>
      <c r="D85" s="1">
        <v>617.04999999999995</v>
      </c>
      <c r="F85" s="1">
        <v>99.84</v>
      </c>
      <c r="H85" s="1">
        <v>399.02</v>
      </c>
    </row>
    <row r="86" spans="1:8" x14ac:dyDescent="0.4">
      <c r="A86" s="6">
        <v>46009</v>
      </c>
      <c r="B86" s="1">
        <v>676.47</v>
      </c>
      <c r="D86" s="1">
        <v>609.11</v>
      </c>
      <c r="F86" s="1">
        <v>100.32</v>
      </c>
      <c r="H86" s="1">
        <v>398.57</v>
      </c>
    </row>
    <row r="87" spans="1:8" x14ac:dyDescent="0.4">
      <c r="A87" s="6">
        <v>46008</v>
      </c>
      <c r="B87" s="1">
        <v>671.4</v>
      </c>
      <c r="D87" s="1">
        <v>600.41</v>
      </c>
      <c r="F87" s="1">
        <v>100.07</v>
      </c>
      <c r="H87" s="1">
        <v>399.29</v>
      </c>
    </row>
    <row r="88" spans="1:8" x14ac:dyDescent="0.4">
      <c r="A88" s="6">
        <v>46007</v>
      </c>
      <c r="B88" s="1">
        <v>678.87</v>
      </c>
      <c r="D88" s="1">
        <v>611.75</v>
      </c>
      <c r="F88" s="1">
        <v>100.1</v>
      </c>
      <c r="H88" s="1">
        <v>395.89</v>
      </c>
    </row>
    <row r="89" spans="1:8" x14ac:dyDescent="0.4">
      <c r="A89" s="6">
        <v>46006</v>
      </c>
      <c r="B89" s="1">
        <v>680.73</v>
      </c>
      <c r="D89" s="1">
        <v>610.54</v>
      </c>
      <c r="F89" s="1">
        <v>99.91</v>
      </c>
      <c r="H89" s="1">
        <v>395.8</v>
      </c>
    </row>
    <row r="90" spans="1:8" x14ac:dyDescent="0.4">
      <c r="A90" s="6">
        <v>46003</v>
      </c>
      <c r="B90" s="1">
        <v>681.76</v>
      </c>
      <c r="D90" s="1">
        <v>613.62</v>
      </c>
      <c r="F90" s="1">
        <v>99.81</v>
      </c>
      <c r="H90" s="1">
        <v>395.44</v>
      </c>
    </row>
    <row r="91" spans="1:8" x14ac:dyDescent="0.4">
      <c r="A91" s="6">
        <v>46002</v>
      </c>
      <c r="B91" s="1">
        <v>689.17</v>
      </c>
      <c r="D91" s="1">
        <v>625.58000000000004</v>
      </c>
      <c r="F91" s="1">
        <v>100.12</v>
      </c>
      <c r="H91" s="1">
        <v>393.24</v>
      </c>
    </row>
    <row r="92" spans="1:8" x14ac:dyDescent="0.4">
      <c r="A92" s="6">
        <v>46001</v>
      </c>
      <c r="B92" s="1">
        <v>687.57</v>
      </c>
      <c r="D92" s="1">
        <v>627.61</v>
      </c>
      <c r="F92" s="1">
        <v>100.1</v>
      </c>
      <c r="H92" s="1">
        <v>389.05</v>
      </c>
    </row>
    <row r="93" spans="1:8" x14ac:dyDescent="0.4">
      <c r="A93" s="6">
        <v>46000</v>
      </c>
      <c r="B93" s="1">
        <v>683.04</v>
      </c>
      <c r="D93" s="1">
        <v>625.04999999999995</v>
      </c>
      <c r="F93" s="1">
        <v>99.78</v>
      </c>
      <c r="H93" s="1">
        <v>387.4</v>
      </c>
    </row>
    <row r="94" spans="1:8" x14ac:dyDescent="0.4">
      <c r="A94" s="6">
        <v>45999</v>
      </c>
      <c r="B94" s="1">
        <v>683.63</v>
      </c>
      <c r="D94" s="1">
        <v>624.28</v>
      </c>
      <c r="F94" s="1">
        <v>99.87</v>
      </c>
      <c r="H94" s="1">
        <v>385.42</v>
      </c>
    </row>
    <row r="95" spans="1:8" x14ac:dyDescent="0.4">
      <c r="A95" s="6">
        <v>45996</v>
      </c>
      <c r="B95" s="1">
        <v>685.69</v>
      </c>
      <c r="D95" s="1">
        <v>625.48</v>
      </c>
      <c r="F95" s="1">
        <v>100.03</v>
      </c>
      <c r="H95" s="1">
        <v>386.44</v>
      </c>
    </row>
    <row r="96" spans="1:8" x14ac:dyDescent="0.4">
      <c r="A96" s="6">
        <v>45995</v>
      </c>
      <c r="B96" s="1">
        <v>684.39</v>
      </c>
      <c r="D96" s="1">
        <v>622.94000000000005</v>
      </c>
      <c r="F96" s="1">
        <v>100.14</v>
      </c>
      <c r="H96" s="1">
        <v>387.13</v>
      </c>
    </row>
    <row r="97" spans="1:8" x14ac:dyDescent="0.4">
      <c r="A97" s="6">
        <v>45994</v>
      </c>
      <c r="B97" s="1">
        <v>683.89</v>
      </c>
      <c r="D97" s="1">
        <v>623.52</v>
      </c>
      <c r="F97" s="1">
        <v>100.38</v>
      </c>
      <c r="H97" s="1">
        <v>386.88</v>
      </c>
    </row>
    <row r="98" spans="1:8" x14ac:dyDescent="0.4">
      <c r="A98" s="6">
        <v>45993</v>
      </c>
      <c r="B98" s="1">
        <v>681.53</v>
      </c>
      <c r="D98" s="1">
        <v>622</v>
      </c>
      <c r="F98" s="1">
        <v>100.19</v>
      </c>
      <c r="H98" s="1">
        <v>387.24</v>
      </c>
    </row>
    <row r="99" spans="1:8" x14ac:dyDescent="0.4">
      <c r="A99" s="6">
        <v>45992</v>
      </c>
      <c r="B99" s="1">
        <v>680.27</v>
      </c>
      <c r="D99" s="1">
        <v>617.16999999999996</v>
      </c>
      <c r="F99" s="1">
        <v>100.06</v>
      </c>
      <c r="H99" s="1">
        <v>389.75</v>
      </c>
    </row>
    <row r="100" spans="1:8" x14ac:dyDescent="0.4">
      <c r="A100" s="6">
        <v>45989</v>
      </c>
      <c r="B100" s="1">
        <v>683.39</v>
      </c>
      <c r="D100" s="1">
        <v>619.25</v>
      </c>
      <c r="F100" s="1">
        <v>100.82</v>
      </c>
      <c r="H100" s="1">
        <v>387.88</v>
      </c>
    </row>
    <row r="101" spans="1:8" x14ac:dyDescent="0.4">
      <c r="A101" s="6">
        <v>45987</v>
      </c>
      <c r="B101" s="1">
        <v>679.68</v>
      </c>
      <c r="D101" s="1">
        <v>614.27</v>
      </c>
      <c r="F101" s="1">
        <v>100.96</v>
      </c>
      <c r="H101" s="1">
        <v>383.12</v>
      </c>
    </row>
    <row r="102" spans="1:8" x14ac:dyDescent="0.4">
      <c r="A102" s="6">
        <v>45986</v>
      </c>
      <c r="B102" s="1">
        <v>675.02</v>
      </c>
      <c r="D102" s="1">
        <v>608.89</v>
      </c>
      <c r="F102" s="1">
        <v>100.8</v>
      </c>
      <c r="H102" s="1">
        <v>380.08</v>
      </c>
    </row>
    <row r="103" spans="1:8" x14ac:dyDescent="0.4">
      <c r="A103" s="6">
        <v>45985</v>
      </c>
      <c r="B103" s="1">
        <v>668.73</v>
      </c>
      <c r="D103" s="1">
        <v>605.16</v>
      </c>
      <c r="F103" s="1">
        <v>100.64</v>
      </c>
      <c r="H103" s="1">
        <v>380.2</v>
      </c>
    </row>
    <row r="104" spans="1:8" x14ac:dyDescent="0.4">
      <c r="A104" s="6">
        <v>45982</v>
      </c>
      <c r="B104" s="1">
        <v>659.03</v>
      </c>
      <c r="D104" s="1">
        <v>590.07000000000005</v>
      </c>
      <c r="F104" s="1">
        <v>100.44</v>
      </c>
      <c r="H104" s="1">
        <v>374.27</v>
      </c>
    </row>
    <row r="105" spans="1:8" x14ac:dyDescent="0.4">
      <c r="A105" s="6">
        <v>45981</v>
      </c>
      <c r="B105" s="1">
        <v>652.53</v>
      </c>
      <c r="D105" s="1">
        <v>585.66999999999996</v>
      </c>
      <c r="F105" s="1">
        <v>100.2</v>
      </c>
      <c r="H105" s="1">
        <v>374.85</v>
      </c>
    </row>
    <row r="106" spans="1:8" x14ac:dyDescent="0.4">
      <c r="A106" s="6">
        <v>45980</v>
      </c>
      <c r="B106" s="1">
        <v>662.63</v>
      </c>
      <c r="D106" s="1">
        <v>599.87</v>
      </c>
      <c r="F106" s="1">
        <v>100.08</v>
      </c>
      <c r="H106" s="1">
        <v>374.96</v>
      </c>
    </row>
    <row r="107" spans="1:8" x14ac:dyDescent="0.4">
      <c r="A107" s="6">
        <v>45979</v>
      </c>
      <c r="B107" s="1">
        <v>660.08</v>
      </c>
      <c r="D107" s="1">
        <v>596.30999999999995</v>
      </c>
      <c r="F107" s="1">
        <v>100.08</v>
      </c>
      <c r="H107" s="1">
        <v>374.35</v>
      </c>
    </row>
    <row r="108" spans="1:8" x14ac:dyDescent="0.4">
      <c r="A108" s="6">
        <v>45978</v>
      </c>
      <c r="B108" s="1">
        <v>665.67</v>
      </c>
      <c r="D108" s="1">
        <v>603.66</v>
      </c>
      <c r="F108" s="1">
        <v>100.02</v>
      </c>
      <c r="H108" s="1">
        <v>371.65</v>
      </c>
    </row>
    <row r="109" spans="1:8" x14ac:dyDescent="0.4">
      <c r="A109" s="6">
        <v>45975</v>
      </c>
      <c r="B109" s="1">
        <v>671.93</v>
      </c>
      <c r="D109" s="1">
        <v>608.86</v>
      </c>
      <c r="F109" s="1">
        <v>100</v>
      </c>
      <c r="H109" s="1">
        <v>375.96</v>
      </c>
    </row>
    <row r="110" spans="1:8" x14ac:dyDescent="0.4">
      <c r="A110" s="6">
        <v>45974</v>
      </c>
      <c r="B110" s="1">
        <v>672.04</v>
      </c>
      <c r="D110" s="1">
        <v>608.4</v>
      </c>
      <c r="F110" s="1">
        <v>100.12</v>
      </c>
      <c r="H110" s="1">
        <v>382.87</v>
      </c>
    </row>
    <row r="111" spans="1:8" x14ac:dyDescent="0.4">
      <c r="A111" s="6">
        <v>45973</v>
      </c>
      <c r="B111" s="1">
        <v>683.38</v>
      </c>
      <c r="D111" s="1">
        <v>621.08000000000004</v>
      </c>
      <c r="F111" s="1">
        <v>100.42</v>
      </c>
      <c r="H111" s="1">
        <v>385.99</v>
      </c>
    </row>
    <row r="112" spans="1:8" x14ac:dyDescent="0.4">
      <c r="A112" s="6">
        <v>45972</v>
      </c>
      <c r="B112" s="1">
        <v>683</v>
      </c>
      <c r="D112" s="1">
        <v>621.57000000000005</v>
      </c>
      <c r="F112" s="1">
        <v>100.46</v>
      </c>
      <c r="H112" s="1">
        <v>379.87</v>
      </c>
    </row>
    <row r="113" spans="1:8" x14ac:dyDescent="0.4">
      <c r="A113" s="6">
        <v>45971</v>
      </c>
      <c r="B113" s="1">
        <v>681.44</v>
      </c>
      <c r="D113" s="1">
        <v>623.23</v>
      </c>
      <c r="F113" s="1">
        <v>100.16</v>
      </c>
      <c r="H113" s="1">
        <v>378.38</v>
      </c>
    </row>
    <row r="114" spans="1:8" x14ac:dyDescent="0.4">
      <c r="A114" s="6">
        <v>45968</v>
      </c>
      <c r="B114" s="1">
        <v>670.97</v>
      </c>
      <c r="D114" s="1">
        <v>609.74</v>
      </c>
      <c r="F114" s="1">
        <v>100.2</v>
      </c>
      <c r="H114" s="1">
        <v>368.31</v>
      </c>
    </row>
    <row r="115" spans="1:8" x14ac:dyDescent="0.4">
      <c r="A115" s="6">
        <v>45967</v>
      </c>
      <c r="B115" s="1">
        <v>670.31</v>
      </c>
      <c r="D115" s="1">
        <v>611.66999999999996</v>
      </c>
      <c r="F115" s="1">
        <v>100.24</v>
      </c>
      <c r="H115" s="1">
        <v>366.07</v>
      </c>
    </row>
    <row r="116" spans="1:8" x14ac:dyDescent="0.4">
      <c r="A116" s="6">
        <v>45966</v>
      </c>
      <c r="B116" s="1">
        <v>677.58</v>
      </c>
      <c r="D116" s="1">
        <v>623.28</v>
      </c>
      <c r="F116" s="1">
        <v>99.87</v>
      </c>
      <c r="H116" s="1">
        <v>366.51</v>
      </c>
    </row>
    <row r="117" spans="1:8" x14ac:dyDescent="0.4">
      <c r="A117" s="6">
        <v>45965</v>
      </c>
      <c r="B117" s="1">
        <v>675.24</v>
      </c>
      <c r="D117" s="1">
        <v>619.25</v>
      </c>
      <c r="F117" s="1">
        <v>100.14</v>
      </c>
      <c r="H117" s="1">
        <v>362.32</v>
      </c>
    </row>
    <row r="118" spans="1:8" x14ac:dyDescent="0.4">
      <c r="A118" s="6">
        <v>45964</v>
      </c>
      <c r="B118" s="1">
        <v>683.34</v>
      </c>
      <c r="D118" s="1">
        <v>632.08000000000004</v>
      </c>
      <c r="F118" s="1">
        <v>100.09</v>
      </c>
      <c r="H118" s="1">
        <v>368.78</v>
      </c>
    </row>
    <row r="119" spans="1:8" x14ac:dyDescent="0.4">
      <c r="A119" s="6">
        <v>45961</v>
      </c>
      <c r="B119" s="1">
        <v>682.06</v>
      </c>
      <c r="D119" s="1">
        <v>629.07000000000005</v>
      </c>
      <c r="F119" s="1">
        <v>100.54</v>
      </c>
      <c r="H119" s="1">
        <v>368.12</v>
      </c>
    </row>
    <row r="120" spans="1:8" x14ac:dyDescent="0.4">
      <c r="A120" s="6">
        <v>45960</v>
      </c>
      <c r="B120" s="1">
        <v>679.83</v>
      </c>
      <c r="D120" s="1">
        <v>626.04999999999995</v>
      </c>
      <c r="F120" s="1">
        <v>100.6</v>
      </c>
      <c r="H120" s="1">
        <v>370.13</v>
      </c>
    </row>
    <row r="121" spans="1:8" x14ac:dyDescent="0.4">
      <c r="A121" s="6">
        <v>45959</v>
      </c>
      <c r="B121" s="1">
        <v>687.39</v>
      </c>
      <c r="D121" s="1">
        <v>635.77</v>
      </c>
      <c r="F121" s="1">
        <v>100.79</v>
      </c>
      <c r="H121" s="1">
        <v>363</v>
      </c>
    </row>
    <row r="122" spans="1:8" x14ac:dyDescent="0.4">
      <c r="A122" s="6">
        <v>45958</v>
      </c>
      <c r="B122" s="1">
        <v>687.06</v>
      </c>
      <c r="D122" s="1">
        <v>632.91999999999996</v>
      </c>
      <c r="F122" s="1">
        <v>101.27</v>
      </c>
      <c r="H122" s="1">
        <v>364.38</v>
      </c>
    </row>
    <row r="123" spans="1:8" x14ac:dyDescent="0.4">
      <c r="A123" s="6">
        <v>45957</v>
      </c>
      <c r="B123" s="1">
        <v>685.24</v>
      </c>
      <c r="D123" s="1">
        <v>628.09</v>
      </c>
      <c r="F123" s="1">
        <v>101.21</v>
      </c>
      <c r="H123" s="1">
        <v>367.01</v>
      </c>
    </row>
    <row r="124" spans="1:8" x14ac:dyDescent="0.4">
      <c r="A124" s="6">
        <v>45954</v>
      </c>
      <c r="B124" s="1">
        <v>677.25</v>
      </c>
      <c r="D124" s="1">
        <v>617.1</v>
      </c>
      <c r="F124" s="1">
        <v>101.14</v>
      </c>
      <c r="H124" s="1">
        <v>377.52</v>
      </c>
    </row>
    <row r="125" spans="1:8" x14ac:dyDescent="0.4">
      <c r="A125" s="6">
        <v>45953</v>
      </c>
      <c r="B125" s="1">
        <v>671.76</v>
      </c>
      <c r="D125" s="1">
        <v>610.58000000000004</v>
      </c>
      <c r="F125" s="1">
        <v>101.04</v>
      </c>
      <c r="H125" s="1">
        <v>378.79</v>
      </c>
    </row>
    <row r="126" spans="1:8" x14ac:dyDescent="0.4">
      <c r="A126" s="6">
        <v>45952</v>
      </c>
      <c r="B126" s="1">
        <v>667.8</v>
      </c>
      <c r="D126" s="1">
        <v>605.49</v>
      </c>
      <c r="F126" s="1">
        <v>101.22</v>
      </c>
      <c r="H126" s="1">
        <v>377.28</v>
      </c>
    </row>
    <row r="127" spans="1:8" x14ac:dyDescent="0.4">
      <c r="A127" s="6">
        <v>45951</v>
      </c>
      <c r="B127" s="1">
        <v>671.29</v>
      </c>
      <c r="D127" s="1">
        <v>611.38</v>
      </c>
      <c r="F127" s="1">
        <v>101.23</v>
      </c>
      <c r="H127" s="1">
        <v>377.24</v>
      </c>
    </row>
    <row r="128" spans="1:8" x14ac:dyDescent="0.4">
      <c r="A128" s="6">
        <v>45950</v>
      </c>
      <c r="B128" s="1">
        <v>671.3</v>
      </c>
      <c r="D128" s="1">
        <v>611.54</v>
      </c>
      <c r="F128" s="1">
        <v>101.13</v>
      </c>
      <c r="H128" s="1">
        <v>403.15</v>
      </c>
    </row>
    <row r="129" spans="1:8" x14ac:dyDescent="0.4">
      <c r="A129" s="6">
        <v>45947</v>
      </c>
      <c r="B129" s="1">
        <v>664.39</v>
      </c>
      <c r="D129" s="1">
        <v>603.92999999999995</v>
      </c>
      <c r="F129" s="1">
        <v>100.96</v>
      </c>
      <c r="H129" s="1">
        <v>388.99</v>
      </c>
    </row>
    <row r="130" spans="1:8" x14ac:dyDescent="0.4">
      <c r="A130" s="6">
        <v>45946</v>
      </c>
      <c r="B130" s="1">
        <v>660.64</v>
      </c>
      <c r="D130" s="1">
        <v>599.99</v>
      </c>
      <c r="F130" s="1">
        <v>101.1</v>
      </c>
      <c r="H130" s="1">
        <v>396.45</v>
      </c>
    </row>
    <row r="131" spans="1:8" x14ac:dyDescent="0.4">
      <c r="A131" s="6">
        <v>45945</v>
      </c>
      <c r="B131" s="1">
        <v>665.17</v>
      </c>
      <c r="D131" s="1">
        <v>602.22</v>
      </c>
      <c r="F131" s="1">
        <v>100.74</v>
      </c>
      <c r="H131" s="1">
        <v>387.39</v>
      </c>
    </row>
    <row r="132" spans="1:8" x14ac:dyDescent="0.4">
      <c r="A132" s="6">
        <v>45944</v>
      </c>
      <c r="B132" s="1">
        <v>662.23</v>
      </c>
      <c r="D132" s="1">
        <v>598</v>
      </c>
      <c r="F132" s="1">
        <v>100.78</v>
      </c>
      <c r="H132" s="1">
        <v>380.79</v>
      </c>
    </row>
    <row r="133" spans="1:8" x14ac:dyDescent="0.4">
      <c r="A133" s="6">
        <v>45943</v>
      </c>
      <c r="B133" s="1">
        <v>663.04</v>
      </c>
      <c r="D133" s="1">
        <v>602.01</v>
      </c>
      <c r="F133" s="1">
        <v>100.62</v>
      </c>
      <c r="H133" s="1">
        <v>378.09</v>
      </c>
    </row>
    <row r="134" spans="1:8" x14ac:dyDescent="0.4">
      <c r="A134" s="6">
        <v>45940</v>
      </c>
      <c r="B134" s="1">
        <v>653.02</v>
      </c>
      <c r="D134" s="1">
        <v>589.5</v>
      </c>
      <c r="F134" s="1">
        <v>100.43</v>
      </c>
      <c r="H134" s="1">
        <v>369.12</v>
      </c>
    </row>
    <row r="135" spans="1:8" x14ac:dyDescent="0.4">
      <c r="A135" s="6">
        <v>45939</v>
      </c>
      <c r="B135" s="1">
        <v>671.16</v>
      </c>
      <c r="D135" s="1">
        <v>610.70000000000005</v>
      </c>
      <c r="F135" s="1">
        <v>100.02</v>
      </c>
      <c r="H135" s="1">
        <v>365.43</v>
      </c>
    </row>
    <row r="136" spans="1:8" x14ac:dyDescent="0.4">
      <c r="A136" s="6">
        <v>45938</v>
      </c>
      <c r="B136" s="1">
        <v>673.11</v>
      </c>
      <c r="D136" s="1">
        <v>611.44000000000005</v>
      </c>
      <c r="F136" s="1">
        <v>100.14</v>
      </c>
      <c r="H136" s="1">
        <v>372.3</v>
      </c>
    </row>
    <row r="137" spans="1:8" x14ac:dyDescent="0.4">
      <c r="A137" s="6">
        <v>45937</v>
      </c>
      <c r="B137" s="1">
        <v>669.12</v>
      </c>
      <c r="D137" s="1">
        <v>604.51</v>
      </c>
      <c r="F137" s="1">
        <v>100.13</v>
      </c>
      <c r="H137" s="1">
        <v>366.26</v>
      </c>
    </row>
    <row r="138" spans="1:8" x14ac:dyDescent="0.4">
      <c r="A138" s="6">
        <v>45936</v>
      </c>
      <c r="B138" s="1">
        <v>671.61</v>
      </c>
      <c r="D138" s="1">
        <v>607.71</v>
      </c>
      <c r="F138" s="1">
        <v>99.96</v>
      </c>
      <c r="H138" s="1">
        <v>364.38</v>
      </c>
    </row>
    <row r="139" spans="1:8" x14ac:dyDescent="0.4">
      <c r="A139" s="6">
        <v>45933</v>
      </c>
      <c r="B139" s="1">
        <v>669.21</v>
      </c>
      <c r="D139" s="1">
        <v>603.17999999999995</v>
      </c>
      <c r="F139" s="1">
        <v>100.18</v>
      </c>
      <c r="H139" s="1">
        <v>357.64</v>
      </c>
    </row>
    <row r="140" spans="1:8" x14ac:dyDescent="0.4">
      <c r="A140" s="6">
        <v>45932</v>
      </c>
      <c r="B140" s="1">
        <v>669.22</v>
      </c>
      <c r="D140" s="1">
        <v>605.73</v>
      </c>
      <c r="F140" s="1">
        <v>100.29</v>
      </c>
      <c r="H140" s="1">
        <v>354.79</v>
      </c>
    </row>
    <row r="141" spans="1:8" x14ac:dyDescent="0.4">
      <c r="A141" s="6">
        <v>45931</v>
      </c>
      <c r="B141" s="1">
        <v>668.45</v>
      </c>
      <c r="D141" s="1">
        <v>603.25</v>
      </c>
      <c r="F141" s="1">
        <v>100.18</v>
      </c>
      <c r="H141" s="1">
        <v>356.03</v>
      </c>
    </row>
    <row r="142" spans="1:8" x14ac:dyDescent="0.4">
      <c r="A142" s="6">
        <v>45930</v>
      </c>
      <c r="B142" s="1">
        <v>666.18</v>
      </c>
      <c r="D142" s="1">
        <v>600.37</v>
      </c>
      <c r="F142" s="1">
        <v>100.25</v>
      </c>
      <c r="H142" s="1">
        <v>355.47</v>
      </c>
    </row>
    <row r="143" spans="1:8" x14ac:dyDescent="0.4">
      <c r="A143" s="6">
        <v>45929</v>
      </c>
      <c r="B143" s="1">
        <v>663.68</v>
      </c>
      <c r="D143" s="1">
        <v>598.73</v>
      </c>
      <c r="F143" s="1">
        <v>100.26</v>
      </c>
      <c r="H143" s="1">
        <v>352.46</v>
      </c>
    </row>
    <row r="144" spans="1:8" x14ac:dyDescent="0.4">
      <c r="A144" s="6">
        <v>45926</v>
      </c>
      <c r="B144" s="1">
        <v>661.82</v>
      </c>
      <c r="D144" s="1">
        <v>595.97</v>
      </c>
      <c r="F144" s="1">
        <v>100.07</v>
      </c>
      <c r="H144" s="1">
        <v>346.74</v>
      </c>
    </row>
    <row r="145" spans="1:8" x14ac:dyDescent="0.4">
      <c r="A145" s="6">
        <v>45925</v>
      </c>
      <c r="B145" s="1">
        <v>658.05</v>
      </c>
      <c r="D145" s="1">
        <v>593.53</v>
      </c>
      <c r="F145" s="1">
        <v>100</v>
      </c>
      <c r="H145" s="1">
        <v>344.75</v>
      </c>
    </row>
    <row r="146" spans="1:8" x14ac:dyDescent="0.4">
      <c r="A146" s="6">
        <v>45924</v>
      </c>
      <c r="B146" s="1">
        <v>661.1</v>
      </c>
      <c r="D146" s="1">
        <v>596.1</v>
      </c>
      <c r="F146" s="1">
        <v>100.14</v>
      </c>
      <c r="H146" s="1">
        <v>343.32</v>
      </c>
    </row>
    <row r="147" spans="1:8" x14ac:dyDescent="0.4">
      <c r="A147" s="6">
        <v>45923</v>
      </c>
      <c r="B147" s="1">
        <v>663.21</v>
      </c>
      <c r="D147" s="1">
        <v>598.20000000000005</v>
      </c>
      <c r="F147" s="1">
        <v>100.33</v>
      </c>
      <c r="H147" s="1">
        <v>346.46</v>
      </c>
    </row>
    <row r="148" spans="1:8" x14ac:dyDescent="0.4">
      <c r="A148" s="6">
        <v>45922</v>
      </c>
      <c r="B148" s="1">
        <v>666.84</v>
      </c>
      <c r="D148" s="1">
        <v>602.20000000000005</v>
      </c>
      <c r="F148" s="1">
        <v>100.17</v>
      </c>
      <c r="H148" s="1">
        <v>345.05</v>
      </c>
    </row>
    <row r="149" spans="1:8" x14ac:dyDescent="0.4">
      <c r="A149" s="6">
        <v>45919</v>
      </c>
      <c r="B149" s="1">
        <v>663.7</v>
      </c>
      <c r="D149" s="1">
        <v>599.35</v>
      </c>
      <c r="F149" s="1">
        <v>100.29</v>
      </c>
      <c r="H149" s="1">
        <v>339.18</v>
      </c>
    </row>
    <row r="150" spans="1:8" x14ac:dyDescent="0.4">
      <c r="A150" s="6">
        <v>45918</v>
      </c>
      <c r="B150" s="1">
        <v>662.26</v>
      </c>
      <c r="D150" s="1">
        <v>595.32000000000005</v>
      </c>
      <c r="F150" s="1">
        <v>100.29</v>
      </c>
      <c r="H150" s="1">
        <v>335.62</v>
      </c>
    </row>
    <row r="151" spans="1:8" x14ac:dyDescent="0.4">
      <c r="A151" s="6">
        <v>45917</v>
      </c>
      <c r="B151" s="1">
        <v>659.18</v>
      </c>
      <c r="D151" s="1">
        <v>590</v>
      </c>
      <c r="F151" s="1">
        <v>100.57</v>
      </c>
      <c r="H151" s="1">
        <v>336.97</v>
      </c>
    </row>
    <row r="152" spans="1:8" x14ac:dyDescent="0.4">
      <c r="A152" s="6">
        <v>45916</v>
      </c>
      <c r="B152" s="1">
        <v>660</v>
      </c>
      <c r="D152" s="1">
        <v>591.17999999999995</v>
      </c>
      <c r="F152" s="1">
        <v>100.75</v>
      </c>
      <c r="H152" s="1">
        <v>339.59</v>
      </c>
    </row>
    <row r="153" spans="1:8" x14ac:dyDescent="0.4">
      <c r="A153" s="6">
        <v>45915</v>
      </c>
      <c r="B153" s="1">
        <v>660.91</v>
      </c>
      <c r="D153" s="1">
        <v>591.67999999999995</v>
      </c>
      <c r="F153" s="1">
        <v>100.71</v>
      </c>
      <c r="H153" s="1">
        <v>338.91</v>
      </c>
    </row>
    <row r="154" spans="1:8" x14ac:dyDescent="0.4">
      <c r="A154" s="6">
        <v>45912</v>
      </c>
      <c r="B154" s="1">
        <v>657.41</v>
      </c>
      <c r="D154" s="1">
        <v>586.66</v>
      </c>
      <c r="F154" s="1">
        <v>100.54</v>
      </c>
      <c r="H154" s="1">
        <v>335.42</v>
      </c>
    </row>
    <row r="155" spans="1:8" x14ac:dyDescent="0.4">
      <c r="A155" s="6">
        <v>45911</v>
      </c>
      <c r="B155" s="1">
        <v>657.63</v>
      </c>
      <c r="D155" s="1">
        <v>584.08000000000004</v>
      </c>
      <c r="F155" s="1">
        <v>100.63</v>
      </c>
      <c r="H155" s="1">
        <v>334.76</v>
      </c>
    </row>
    <row r="156" spans="1:8" x14ac:dyDescent="0.4">
      <c r="A156" s="6">
        <v>45910</v>
      </c>
      <c r="B156" s="1">
        <v>652.21</v>
      </c>
      <c r="D156" s="1">
        <v>580.70000000000005</v>
      </c>
      <c r="F156" s="1">
        <v>100.44</v>
      </c>
      <c r="H156" s="1">
        <v>335.26</v>
      </c>
    </row>
    <row r="157" spans="1:8" x14ac:dyDescent="0.4">
      <c r="A157" s="6">
        <v>45909</v>
      </c>
      <c r="B157" s="1">
        <v>650.33000000000004</v>
      </c>
      <c r="D157" s="1">
        <v>580.51</v>
      </c>
      <c r="F157" s="1">
        <v>100.24</v>
      </c>
      <c r="H157" s="1">
        <v>334.06</v>
      </c>
    </row>
    <row r="158" spans="1:8" x14ac:dyDescent="0.4">
      <c r="A158" s="6">
        <v>45908</v>
      </c>
      <c r="B158" s="1">
        <v>648.83000000000004</v>
      </c>
      <c r="D158" s="1">
        <v>578.87</v>
      </c>
      <c r="F158" s="1">
        <v>100.44</v>
      </c>
      <c r="H158" s="1">
        <v>334.82</v>
      </c>
    </row>
    <row r="159" spans="1:8" x14ac:dyDescent="0.4">
      <c r="A159" s="6">
        <v>45905</v>
      </c>
      <c r="B159" s="1">
        <v>647.24</v>
      </c>
      <c r="D159" s="1">
        <v>576.05999999999995</v>
      </c>
      <c r="F159" s="1">
        <v>100.1</v>
      </c>
      <c r="H159" s="1">
        <v>331.05</v>
      </c>
    </row>
    <row r="160" spans="1:8" x14ac:dyDescent="0.4">
      <c r="A160" s="6">
        <v>45904</v>
      </c>
      <c r="B160" s="1">
        <v>649.12</v>
      </c>
      <c r="D160" s="1">
        <v>575.23</v>
      </c>
      <c r="F160" s="1">
        <v>99.63</v>
      </c>
      <c r="H160" s="1">
        <v>326.69</v>
      </c>
    </row>
    <row r="161" spans="1:8" x14ac:dyDescent="0.4">
      <c r="A161" s="6">
        <v>45903</v>
      </c>
      <c r="B161" s="1">
        <v>643.74</v>
      </c>
      <c r="D161" s="1">
        <v>570.07000000000005</v>
      </c>
      <c r="F161" s="1">
        <v>99.23</v>
      </c>
      <c r="H161" s="1">
        <v>328.14</v>
      </c>
    </row>
    <row r="162" spans="1:8" x14ac:dyDescent="0.4">
      <c r="A162" s="6">
        <v>45902</v>
      </c>
      <c r="B162" s="1">
        <v>640.27</v>
      </c>
      <c r="D162" s="1">
        <v>565.62</v>
      </c>
      <c r="F162" s="1">
        <v>98.87</v>
      </c>
      <c r="H162" s="1">
        <v>325.58999999999997</v>
      </c>
    </row>
    <row r="163" spans="1:8" x14ac:dyDescent="0.4">
      <c r="A163" s="6">
        <v>45898</v>
      </c>
      <c r="B163" s="1">
        <v>645.04999999999995</v>
      </c>
      <c r="D163" s="1">
        <v>570.4</v>
      </c>
      <c r="F163" s="1">
        <v>99.46</v>
      </c>
      <c r="H163" s="1">
        <v>318.07</v>
      </c>
    </row>
    <row r="164" spans="1:8" x14ac:dyDescent="0.4">
      <c r="A164" s="6">
        <v>45897</v>
      </c>
      <c r="B164" s="1">
        <v>648.91999999999996</v>
      </c>
      <c r="D164" s="1">
        <v>577.08000000000004</v>
      </c>
      <c r="F164" s="1">
        <v>99.59</v>
      </c>
      <c r="H164" s="1">
        <v>315.02999999999997</v>
      </c>
    </row>
    <row r="165" spans="1:8" x14ac:dyDescent="0.4">
      <c r="A165" s="6">
        <v>45896</v>
      </c>
      <c r="B165" s="1">
        <v>646.63</v>
      </c>
      <c r="D165" s="1">
        <v>573.49</v>
      </c>
      <c r="F165" s="1">
        <v>99.47</v>
      </c>
      <c r="H165" s="1">
        <v>312.70999999999998</v>
      </c>
    </row>
    <row r="166" spans="1:8" x14ac:dyDescent="0.4">
      <c r="A166" s="6">
        <v>45895</v>
      </c>
      <c r="B166" s="1">
        <v>645.16</v>
      </c>
      <c r="D166" s="1">
        <v>572.61</v>
      </c>
      <c r="F166" s="1">
        <v>99.37</v>
      </c>
      <c r="H166" s="1">
        <v>312.08</v>
      </c>
    </row>
    <row r="167" spans="1:8" x14ac:dyDescent="0.4">
      <c r="A167" s="6">
        <v>45894</v>
      </c>
      <c r="B167" s="1">
        <v>642.47</v>
      </c>
      <c r="D167" s="1">
        <v>570.32000000000005</v>
      </c>
      <c r="F167" s="1">
        <v>99.25</v>
      </c>
      <c r="H167" s="1">
        <v>309.83</v>
      </c>
    </row>
    <row r="168" spans="1:8" x14ac:dyDescent="0.4">
      <c r="A168" s="6">
        <v>45891</v>
      </c>
      <c r="B168" s="1">
        <v>645.30999999999995</v>
      </c>
      <c r="D168" s="1">
        <v>571.97</v>
      </c>
      <c r="F168" s="1">
        <v>99.4</v>
      </c>
      <c r="H168" s="1">
        <v>310.58</v>
      </c>
    </row>
    <row r="169" spans="1:8" x14ac:dyDescent="0.4">
      <c r="A169" s="6">
        <v>45890</v>
      </c>
      <c r="B169" s="1">
        <v>635.54999999999995</v>
      </c>
      <c r="D169" s="1">
        <v>563.28</v>
      </c>
      <c r="F169" s="1">
        <v>98.85</v>
      </c>
      <c r="H169" s="1">
        <v>307.29000000000002</v>
      </c>
    </row>
    <row r="170" spans="1:8" x14ac:dyDescent="0.4">
      <c r="A170" s="6">
        <v>45889</v>
      </c>
      <c r="B170" s="1">
        <v>638.11</v>
      </c>
      <c r="D170" s="1">
        <v>565.9</v>
      </c>
      <c r="F170" s="1">
        <v>99.08</v>
      </c>
      <c r="H170" s="1">
        <v>308.36</v>
      </c>
    </row>
    <row r="171" spans="1:8" x14ac:dyDescent="0.4">
      <c r="A171" s="6">
        <v>45888</v>
      </c>
      <c r="B171" s="1">
        <v>639.80999999999995</v>
      </c>
      <c r="D171" s="1">
        <v>569.28</v>
      </c>
      <c r="F171" s="1">
        <v>99.02</v>
      </c>
      <c r="H171" s="1">
        <v>305.27</v>
      </c>
    </row>
    <row r="172" spans="1:8" x14ac:dyDescent="0.4">
      <c r="A172" s="6">
        <v>45887</v>
      </c>
      <c r="B172" s="1">
        <v>643.29999999999995</v>
      </c>
      <c r="D172" s="1">
        <v>577.11</v>
      </c>
      <c r="F172" s="1">
        <v>98.83</v>
      </c>
      <c r="H172" s="1">
        <v>306.95</v>
      </c>
    </row>
    <row r="173" spans="1:8" x14ac:dyDescent="0.4">
      <c r="A173" s="6">
        <v>45884</v>
      </c>
      <c r="B173" s="1">
        <v>643.44000000000005</v>
      </c>
      <c r="D173" s="1">
        <v>577.34</v>
      </c>
      <c r="F173" s="1">
        <v>98.94</v>
      </c>
      <c r="H173" s="1">
        <v>307.43</v>
      </c>
    </row>
    <row r="174" spans="1:8" x14ac:dyDescent="0.4">
      <c r="A174" s="6">
        <v>45883</v>
      </c>
      <c r="B174" s="1">
        <v>644.95000000000005</v>
      </c>
      <c r="D174" s="1">
        <v>579.89</v>
      </c>
      <c r="F174" s="1">
        <v>99.09</v>
      </c>
      <c r="H174" s="1">
        <v>307.25</v>
      </c>
    </row>
    <row r="175" spans="1:8" x14ac:dyDescent="0.4">
      <c r="A175" s="6">
        <v>45882</v>
      </c>
      <c r="B175" s="1">
        <v>644.89</v>
      </c>
      <c r="D175" s="1">
        <v>580.34</v>
      </c>
      <c r="F175" s="1">
        <v>99.37</v>
      </c>
      <c r="H175" s="1">
        <v>309.20999999999998</v>
      </c>
    </row>
    <row r="176" spans="1:8" x14ac:dyDescent="0.4">
      <c r="A176" s="6">
        <v>45881</v>
      </c>
      <c r="B176" s="1">
        <v>642.69000000000005</v>
      </c>
      <c r="D176" s="1">
        <v>580.04999999999995</v>
      </c>
      <c r="F176" s="1">
        <v>99.01</v>
      </c>
      <c r="H176" s="1">
        <v>308.27</v>
      </c>
    </row>
    <row r="177" spans="1:8" x14ac:dyDescent="0.4">
      <c r="A177" s="6">
        <v>45880</v>
      </c>
      <c r="B177" s="1">
        <v>635.91999999999996</v>
      </c>
      <c r="D177" s="1">
        <v>572.85</v>
      </c>
      <c r="F177" s="1">
        <v>99.01</v>
      </c>
      <c r="H177" s="1">
        <v>308.55</v>
      </c>
    </row>
    <row r="178" spans="1:8" x14ac:dyDescent="0.4">
      <c r="A178" s="6">
        <v>45877</v>
      </c>
      <c r="B178" s="1">
        <v>637.17999999999995</v>
      </c>
      <c r="D178" s="1">
        <v>574.54999999999995</v>
      </c>
      <c r="F178" s="1">
        <v>98.94</v>
      </c>
      <c r="H178" s="1">
        <v>313.05</v>
      </c>
    </row>
    <row r="179" spans="1:8" x14ac:dyDescent="0.4">
      <c r="A179" s="6">
        <v>45876</v>
      </c>
      <c r="B179" s="1">
        <v>632.25</v>
      </c>
      <c r="D179" s="1">
        <v>569.24</v>
      </c>
      <c r="F179" s="1">
        <v>99.13</v>
      </c>
      <c r="H179" s="1">
        <v>313.12</v>
      </c>
    </row>
    <row r="180" spans="1:8" x14ac:dyDescent="0.4">
      <c r="A180" s="6">
        <v>45875</v>
      </c>
      <c r="B180" s="1">
        <v>632.78</v>
      </c>
      <c r="D180" s="1">
        <v>567.32000000000005</v>
      </c>
      <c r="F180" s="1">
        <v>99.21</v>
      </c>
      <c r="H180" s="1">
        <v>310.5</v>
      </c>
    </row>
    <row r="181" spans="1:8" x14ac:dyDescent="0.4">
      <c r="A181" s="6">
        <v>45874</v>
      </c>
      <c r="B181" s="1">
        <v>627.97</v>
      </c>
      <c r="D181" s="1">
        <v>560.27</v>
      </c>
      <c r="F181" s="1">
        <v>99.25</v>
      </c>
      <c r="H181" s="1">
        <v>311.16000000000003</v>
      </c>
    </row>
    <row r="182" spans="1:8" x14ac:dyDescent="0.4">
      <c r="A182" s="6">
        <v>45873</v>
      </c>
      <c r="B182" s="1">
        <v>631.16999999999996</v>
      </c>
      <c r="D182" s="1">
        <v>564.1</v>
      </c>
      <c r="F182" s="1">
        <v>99.22</v>
      </c>
      <c r="H182" s="1">
        <v>310.91000000000003</v>
      </c>
    </row>
    <row r="183" spans="1:8" x14ac:dyDescent="0.4">
      <c r="A183" s="6">
        <v>45870</v>
      </c>
      <c r="B183" s="1">
        <v>621.72</v>
      </c>
      <c r="D183" s="1">
        <v>553.88</v>
      </c>
      <c r="F183" s="1">
        <v>99.14</v>
      </c>
      <c r="H183" s="1">
        <v>309.11</v>
      </c>
    </row>
    <row r="184" spans="1:8" x14ac:dyDescent="0.4">
      <c r="A184" s="6">
        <v>45869</v>
      </c>
      <c r="B184" s="1">
        <v>632.08000000000004</v>
      </c>
      <c r="D184" s="1">
        <v>565.01</v>
      </c>
      <c r="F184" s="1">
        <v>98.62</v>
      </c>
      <c r="H184" s="1">
        <v>302.95999999999998</v>
      </c>
    </row>
    <row r="185" spans="1:8" x14ac:dyDescent="0.4">
      <c r="A185" s="6">
        <v>45868</v>
      </c>
      <c r="B185" s="1">
        <v>634.46</v>
      </c>
      <c r="D185" s="1">
        <v>568.02</v>
      </c>
      <c r="F185" s="1">
        <v>98.57</v>
      </c>
      <c r="H185" s="1">
        <v>300.95999999999998</v>
      </c>
    </row>
    <row r="186" spans="1:8" x14ac:dyDescent="0.4">
      <c r="A186" s="6">
        <v>45867</v>
      </c>
      <c r="B186" s="1">
        <v>635.26</v>
      </c>
      <c r="D186" s="1">
        <v>567.26</v>
      </c>
      <c r="F186" s="1">
        <v>98.85</v>
      </c>
      <c r="H186" s="1">
        <v>306.25</v>
      </c>
    </row>
    <row r="187" spans="1:8" x14ac:dyDescent="0.4">
      <c r="A187" s="6">
        <v>45866</v>
      </c>
      <c r="B187" s="1">
        <v>636.94000000000005</v>
      </c>
      <c r="D187" s="1">
        <v>568.14</v>
      </c>
      <c r="F187" s="1">
        <v>98.32</v>
      </c>
      <c r="H187" s="1">
        <v>305.41000000000003</v>
      </c>
    </row>
    <row r="188" spans="1:8" x14ac:dyDescent="0.4">
      <c r="A188" s="6">
        <v>45863</v>
      </c>
      <c r="B188" s="1">
        <v>637.1</v>
      </c>
      <c r="D188" s="1">
        <v>566.37</v>
      </c>
      <c r="F188" s="1">
        <v>98.45</v>
      </c>
      <c r="H188" s="1">
        <v>307.39999999999998</v>
      </c>
    </row>
    <row r="189" spans="1:8" x14ac:dyDescent="0.4">
      <c r="A189" s="6">
        <v>45862</v>
      </c>
      <c r="B189" s="1">
        <v>634.41999999999996</v>
      </c>
      <c r="D189" s="1">
        <v>565.01</v>
      </c>
      <c r="F189" s="1">
        <v>98.29</v>
      </c>
      <c r="H189" s="1">
        <v>310.27</v>
      </c>
    </row>
    <row r="190" spans="1:8" x14ac:dyDescent="0.4">
      <c r="A190" s="6">
        <v>45861</v>
      </c>
      <c r="B190" s="1">
        <v>634.21</v>
      </c>
      <c r="D190" s="1">
        <v>563.80999999999995</v>
      </c>
      <c r="F190" s="1">
        <v>98.35</v>
      </c>
      <c r="H190" s="1">
        <v>312.18</v>
      </c>
    </row>
    <row r="191" spans="1:8" x14ac:dyDescent="0.4">
      <c r="A191" s="6">
        <v>45860</v>
      </c>
      <c r="B191" s="1">
        <v>628.86</v>
      </c>
      <c r="D191" s="1">
        <v>561.25</v>
      </c>
      <c r="F191" s="1">
        <v>98.57</v>
      </c>
      <c r="H191" s="1">
        <v>316.10000000000002</v>
      </c>
    </row>
    <row r="192" spans="1:8" x14ac:dyDescent="0.4">
      <c r="A192" s="6">
        <v>45859</v>
      </c>
      <c r="B192" s="1">
        <v>628.77</v>
      </c>
      <c r="D192" s="1">
        <v>564.16999999999996</v>
      </c>
      <c r="F192" s="1">
        <v>98.38</v>
      </c>
      <c r="H192" s="1">
        <v>313.13</v>
      </c>
    </row>
    <row r="193" spans="1:8" x14ac:dyDescent="0.4">
      <c r="A193" s="6">
        <v>45856</v>
      </c>
      <c r="B193" s="1">
        <v>627.58000000000004</v>
      </c>
      <c r="D193" s="1">
        <v>561.26</v>
      </c>
      <c r="F193" s="1">
        <v>98.11</v>
      </c>
      <c r="H193" s="1">
        <v>308.39</v>
      </c>
    </row>
    <row r="194" spans="1:8" x14ac:dyDescent="0.4">
      <c r="A194" s="6">
        <v>45855</v>
      </c>
      <c r="B194" s="1">
        <v>628.04</v>
      </c>
      <c r="D194" s="1">
        <v>561.79999999999995</v>
      </c>
      <c r="F194" s="1">
        <v>97.93</v>
      </c>
      <c r="H194" s="1">
        <v>307.58999999999997</v>
      </c>
    </row>
    <row r="195" spans="1:8" x14ac:dyDescent="0.4">
      <c r="A195" s="6">
        <v>45854</v>
      </c>
      <c r="B195" s="1">
        <v>624.22</v>
      </c>
      <c r="D195" s="1">
        <v>557.29</v>
      </c>
      <c r="F195" s="1">
        <v>97.89</v>
      </c>
      <c r="H195" s="1">
        <v>308.26</v>
      </c>
    </row>
    <row r="196" spans="1:8" x14ac:dyDescent="0.4">
      <c r="A196" s="6">
        <v>45853</v>
      </c>
      <c r="B196" s="1">
        <v>622.14</v>
      </c>
      <c r="D196" s="1">
        <v>556.72</v>
      </c>
      <c r="F196" s="1">
        <v>97.75</v>
      </c>
      <c r="H196" s="1">
        <v>306.73</v>
      </c>
    </row>
    <row r="197" spans="1:8" x14ac:dyDescent="0.4">
      <c r="A197" s="6">
        <v>45852</v>
      </c>
      <c r="B197" s="1">
        <v>624.80999999999995</v>
      </c>
      <c r="D197" s="1">
        <v>556.21</v>
      </c>
      <c r="F197" s="1">
        <v>98.04</v>
      </c>
      <c r="H197" s="1">
        <v>308.01</v>
      </c>
    </row>
    <row r="198" spans="1:8" x14ac:dyDescent="0.4">
      <c r="A198" s="6">
        <v>45849</v>
      </c>
      <c r="B198" s="1">
        <v>623.62</v>
      </c>
      <c r="D198" s="1">
        <v>554.20000000000005</v>
      </c>
      <c r="F198" s="1">
        <v>98.05</v>
      </c>
      <c r="H198" s="1">
        <v>309.14</v>
      </c>
    </row>
    <row r="199" spans="1:8" x14ac:dyDescent="0.4">
      <c r="A199" s="6">
        <v>45848</v>
      </c>
      <c r="B199" s="1">
        <v>625.82000000000005</v>
      </c>
      <c r="D199" s="1">
        <v>555.45000000000005</v>
      </c>
      <c r="F199" s="1">
        <v>98.46</v>
      </c>
      <c r="H199" s="1">
        <v>306.2</v>
      </c>
    </row>
    <row r="200" spans="1:8" x14ac:dyDescent="0.4">
      <c r="A200" s="6">
        <v>45847</v>
      </c>
      <c r="B200" s="1">
        <v>624.05999999999995</v>
      </c>
      <c r="D200" s="1">
        <v>556.25</v>
      </c>
      <c r="F200" s="1">
        <v>98.49</v>
      </c>
      <c r="H200" s="1">
        <v>305.52</v>
      </c>
    </row>
    <row r="201" spans="1:8" x14ac:dyDescent="0.4">
      <c r="A201" s="6">
        <v>45846</v>
      </c>
      <c r="B201" s="1">
        <v>620.34</v>
      </c>
      <c r="D201" s="1">
        <v>552.34</v>
      </c>
      <c r="F201" s="1">
        <v>98.08</v>
      </c>
      <c r="H201" s="1">
        <v>304.16000000000003</v>
      </c>
    </row>
    <row r="202" spans="1:8" x14ac:dyDescent="0.4">
      <c r="A202" s="6">
        <v>45845</v>
      </c>
      <c r="B202" s="1">
        <v>620.67999999999995</v>
      </c>
      <c r="D202" s="1">
        <v>552.03</v>
      </c>
      <c r="F202" s="1">
        <v>98.12</v>
      </c>
      <c r="H202" s="1">
        <v>307.37</v>
      </c>
    </row>
    <row r="203" spans="1:8" x14ac:dyDescent="0.4">
      <c r="A203" s="6">
        <v>45841</v>
      </c>
      <c r="B203" s="1">
        <v>625.34</v>
      </c>
      <c r="D203" s="1">
        <v>556.22</v>
      </c>
      <c r="F203" s="1">
        <v>98.47</v>
      </c>
      <c r="H203" s="1">
        <v>307.14</v>
      </c>
    </row>
    <row r="204" spans="1:8" x14ac:dyDescent="0.4">
      <c r="A204" s="6">
        <v>45840</v>
      </c>
      <c r="B204" s="1">
        <v>620.45000000000005</v>
      </c>
      <c r="D204" s="1">
        <v>550.79999999999995</v>
      </c>
      <c r="F204" s="1">
        <v>98.67</v>
      </c>
      <c r="H204" s="1">
        <v>309.25</v>
      </c>
    </row>
    <row r="205" spans="1:8" x14ac:dyDescent="0.4">
      <c r="A205" s="6">
        <v>45839</v>
      </c>
      <c r="B205" s="1">
        <v>617.65</v>
      </c>
      <c r="D205" s="1">
        <v>546.99</v>
      </c>
      <c r="F205" s="1">
        <v>98.79</v>
      </c>
      <c r="H205" s="1">
        <v>307.55</v>
      </c>
    </row>
    <row r="206" spans="1:8" x14ac:dyDescent="0.4">
      <c r="A206" s="6">
        <v>45838</v>
      </c>
      <c r="B206" s="1">
        <v>617.85</v>
      </c>
      <c r="D206" s="1">
        <v>551.64</v>
      </c>
      <c r="F206" s="1">
        <v>99.2</v>
      </c>
      <c r="H206" s="1">
        <v>304.83</v>
      </c>
    </row>
    <row r="207" spans="1:8" x14ac:dyDescent="0.4">
      <c r="A207" s="6">
        <v>45835</v>
      </c>
      <c r="B207" s="1">
        <v>614.91</v>
      </c>
      <c r="D207" s="1">
        <v>548.09</v>
      </c>
      <c r="F207" s="1">
        <v>98.8</v>
      </c>
      <c r="H207" s="1">
        <v>301.22000000000003</v>
      </c>
    </row>
    <row r="208" spans="1:8" x14ac:dyDescent="0.4">
      <c r="A208" s="6">
        <v>45834</v>
      </c>
      <c r="B208" s="1">
        <v>611.87</v>
      </c>
      <c r="D208" s="1">
        <v>546.22</v>
      </c>
      <c r="F208" s="1">
        <v>99.08</v>
      </c>
      <c r="H208" s="1">
        <v>306.77999999999997</v>
      </c>
    </row>
    <row r="209" spans="1:8" x14ac:dyDescent="0.4">
      <c r="A209" s="6">
        <v>45833</v>
      </c>
      <c r="B209" s="1">
        <v>607.12</v>
      </c>
      <c r="D209" s="1">
        <v>541.16</v>
      </c>
      <c r="F209" s="1">
        <v>98.81</v>
      </c>
      <c r="H209" s="1">
        <v>307.12</v>
      </c>
    </row>
    <row r="210" spans="1:8" x14ac:dyDescent="0.4">
      <c r="A210" s="6">
        <v>45832</v>
      </c>
      <c r="B210" s="1">
        <v>606.78</v>
      </c>
      <c r="D210" s="1">
        <v>539.78</v>
      </c>
      <c r="F210" s="1">
        <v>98.82</v>
      </c>
      <c r="H210" s="1">
        <v>306.19</v>
      </c>
    </row>
    <row r="211" spans="1:8" x14ac:dyDescent="0.4">
      <c r="A211" s="6">
        <v>45831</v>
      </c>
      <c r="B211" s="1">
        <v>600.15</v>
      </c>
      <c r="D211" s="1">
        <v>531.65</v>
      </c>
      <c r="F211" s="1">
        <v>98.42</v>
      </c>
      <c r="H211" s="1">
        <v>311.08</v>
      </c>
    </row>
    <row r="212" spans="1:8" x14ac:dyDescent="0.4">
      <c r="A212" s="6">
        <v>45828</v>
      </c>
      <c r="B212" s="1">
        <v>594.28</v>
      </c>
      <c r="D212" s="1">
        <v>526.83000000000004</v>
      </c>
      <c r="F212" s="1">
        <v>98.22</v>
      </c>
      <c r="H212" s="1">
        <v>310.13</v>
      </c>
    </row>
    <row r="213" spans="1:8" x14ac:dyDescent="0.4">
      <c r="A213" s="6">
        <v>45826</v>
      </c>
      <c r="B213" s="1">
        <v>597.44000000000005</v>
      </c>
      <c r="D213" s="1">
        <v>528.99</v>
      </c>
      <c r="F213" s="1">
        <v>98.13</v>
      </c>
      <c r="H213" s="1">
        <v>310.26</v>
      </c>
    </row>
    <row r="214" spans="1:8" x14ac:dyDescent="0.4">
      <c r="A214" s="6">
        <v>45825</v>
      </c>
      <c r="B214" s="1">
        <v>597.53</v>
      </c>
      <c r="D214" s="1">
        <v>529.08000000000004</v>
      </c>
      <c r="F214" s="1">
        <v>98.06</v>
      </c>
      <c r="H214" s="1">
        <v>311.94</v>
      </c>
    </row>
    <row r="215" spans="1:8" x14ac:dyDescent="0.4">
      <c r="A215" s="6">
        <v>45824</v>
      </c>
      <c r="B215" s="1">
        <v>602.67999999999995</v>
      </c>
      <c r="D215" s="1">
        <v>534.29</v>
      </c>
      <c r="F215" s="1">
        <v>97.76</v>
      </c>
      <c r="H215" s="1">
        <v>311.77999999999997</v>
      </c>
    </row>
    <row r="216" spans="1:8" x14ac:dyDescent="0.4">
      <c r="A216" s="6">
        <v>45821</v>
      </c>
      <c r="B216" s="1">
        <v>597</v>
      </c>
      <c r="D216" s="1">
        <v>526.96</v>
      </c>
      <c r="F216" s="1">
        <v>97.96</v>
      </c>
      <c r="H216" s="1">
        <v>316.29000000000002</v>
      </c>
    </row>
    <row r="217" spans="1:8" x14ac:dyDescent="0.4">
      <c r="A217" s="6">
        <v>45820</v>
      </c>
      <c r="B217" s="1">
        <v>603.75</v>
      </c>
      <c r="D217" s="1">
        <v>533.66</v>
      </c>
      <c r="F217" s="1">
        <v>98.31</v>
      </c>
      <c r="H217" s="1">
        <v>312.2</v>
      </c>
    </row>
    <row r="218" spans="1:8" x14ac:dyDescent="0.4">
      <c r="A218" s="6">
        <v>45819</v>
      </c>
      <c r="B218" s="1">
        <v>601.36</v>
      </c>
      <c r="D218" s="1">
        <v>532.41</v>
      </c>
      <c r="F218" s="1">
        <v>97.95</v>
      </c>
      <c r="H218" s="1">
        <v>308.37</v>
      </c>
    </row>
    <row r="219" spans="1:8" x14ac:dyDescent="0.4">
      <c r="A219" s="6">
        <v>45818</v>
      </c>
      <c r="B219" s="1">
        <v>603.08000000000004</v>
      </c>
      <c r="D219" s="1">
        <v>534.21</v>
      </c>
      <c r="F219" s="1">
        <v>97.62</v>
      </c>
      <c r="H219" s="1">
        <v>306.70999999999998</v>
      </c>
    </row>
    <row r="220" spans="1:8" x14ac:dyDescent="0.4">
      <c r="A220" s="6">
        <v>45817</v>
      </c>
      <c r="B220" s="1">
        <v>599.67999999999995</v>
      </c>
      <c r="D220" s="1">
        <v>530.70000000000005</v>
      </c>
      <c r="F220" s="1">
        <v>97.4</v>
      </c>
      <c r="H220" s="1">
        <v>306.62</v>
      </c>
    </row>
    <row r="221" spans="1:8" x14ac:dyDescent="0.4">
      <c r="A221" s="6">
        <v>45814</v>
      </c>
      <c r="B221" s="1">
        <v>599.14</v>
      </c>
      <c r="D221" s="1">
        <v>529.91999999999996</v>
      </c>
      <c r="F221" s="1">
        <v>97.28</v>
      </c>
      <c r="H221" s="1">
        <v>305.18</v>
      </c>
    </row>
    <row r="222" spans="1:8" x14ac:dyDescent="0.4">
      <c r="A222" s="6">
        <v>45813</v>
      </c>
      <c r="B222" s="1">
        <v>593.04999999999995</v>
      </c>
      <c r="D222" s="1">
        <v>524.79</v>
      </c>
      <c r="F222" s="1">
        <v>97.78</v>
      </c>
      <c r="H222" s="1">
        <v>309.33</v>
      </c>
    </row>
    <row r="223" spans="1:8" x14ac:dyDescent="0.4">
      <c r="A223" s="6">
        <v>45812</v>
      </c>
      <c r="B223" s="1">
        <v>595.92999999999995</v>
      </c>
      <c r="D223" s="1">
        <v>528.77</v>
      </c>
      <c r="F223" s="1">
        <v>98.03</v>
      </c>
      <c r="H223" s="1">
        <v>310.89999999999998</v>
      </c>
    </row>
    <row r="224" spans="1:8" x14ac:dyDescent="0.4">
      <c r="A224" s="6">
        <v>45811</v>
      </c>
      <c r="B224" s="1">
        <v>596.09</v>
      </c>
      <c r="D224" s="1">
        <v>527.29999999999995</v>
      </c>
      <c r="F224" s="1">
        <v>97.45</v>
      </c>
      <c r="H224" s="1">
        <v>308.91000000000003</v>
      </c>
    </row>
    <row r="225" spans="1:8" x14ac:dyDescent="0.4">
      <c r="A225" s="6">
        <v>45810</v>
      </c>
      <c r="B225" s="1">
        <v>592.71</v>
      </c>
      <c r="D225" s="1">
        <v>523.21</v>
      </c>
      <c r="F225" s="1">
        <v>97.52</v>
      </c>
      <c r="H225" s="1">
        <v>311.67</v>
      </c>
    </row>
    <row r="226" spans="1:8" x14ac:dyDescent="0.4">
      <c r="A226" s="6">
        <v>45807</v>
      </c>
      <c r="B226" s="1">
        <v>589.39</v>
      </c>
      <c r="D226" s="1">
        <v>519.11</v>
      </c>
      <c r="F226" s="1">
        <v>98.1</v>
      </c>
      <c r="H226" s="1">
        <v>303.60000000000002</v>
      </c>
    </row>
    <row r="227" spans="1:8" x14ac:dyDescent="0.4">
      <c r="A227" s="6">
        <v>45806</v>
      </c>
      <c r="B227" s="1">
        <v>590.04999999999995</v>
      </c>
      <c r="D227" s="1">
        <v>519.92999999999995</v>
      </c>
      <c r="F227" s="1">
        <v>97.86</v>
      </c>
      <c r="H227" s="1">
        <v>305.61</v>
      </c>
    </row>
    <row r="228" spans="1:8" x14ac:dyDescent="0.4">
      <c r="A228" s="6">
        <v>45805</v>
      </c>
      <c r="B228" s="1">
        <v>587.73</v>
      </c>
      <c r="D228" s="1">
        <v>518.91</v>
      </c>
      <c r="F228" s="1">
        <v>97.5</v>
      </c>
      <c r="H228" s="1">
        <v>303.81</v>
      </c>
    </row>
    <row r="229" spans="1:8" x14ac:dyDescent="0.4">
      <c r="A229" s="6">
        <v>45804</v>
      </c>
      <c r="B229" s="1">
        <v>591.15</v>
      </c>
      <c r="D229" s="1">
        <v>521.22</v>
      </c>
      <c r="F229" s="1">
        <v>97.68</v>
      </c>
      <c r="H229" s="1">
        <v>304.5</v>
      </c>
    </row>
    <row r="230" spans="1:8" x14ac:dyDescent="0.4">
      <c r="A230" s="6">
        <v>45800</v>
      </c>
      <c r="B230" s="1">
        <v>579.11</v>
      </c>
      <c r="D230" s="1">
        <v>509.24</v>
      </c>
      <c r="F230" s="1">
        <v>97.24</v>
      </c>
      <c r="H230" s="1">
        <v>309.75</v>
      </c>
    </row>
    <row r="231" spans="1:8" x14ac:dyDescent="0.4">
      <c r="A231" s="6">
        <v>45799</v>
      </c>
      <c r="B231" s="1">
        <v>583.09</v>
      </c>
      <c r="D231" s="1">
        <v>514</v>
      </c>
      <c r="F231" s="1">
        <v>97.1</v>
      </c>
      <c r="H231" s="1">
        <v>303.11</v>
      </c>
    </row>
    <row r="232" spans="1:8" x14ac:dyDescent="0.4">
      <c r="A232" s="6">
        <v>45798</v>
      </c>
      <c r="B232" s="1">
        <v>582.86</v>
      </c>
      <c r="D232" s="1">
        <v>513.04</v>
      </c>
      <c r="F232" s="1">
        <v>96.82</v>
      </c>
      <c r="H232" s="1">
        <v>305.82</v>
      </c>
    </row>
    <row r="233" spans="1:8" x14ac:dyDescent="0.4">
      <c r="A233" s="6">
        <v>45797</v>
      </c>
      <c r="B233" s="1">
        <v>592.85</v>
      </c>
      <c r="D233" s="1">
        <v>520.27</v>
      </c>
      <c r="F233" s="1">
        <v>97.46</v>
      </c>
      <c r="H233" s="1">
        <v>303.58</v>
      </c>
    </row>
    <row r="234" spans="1:8" x14ac:dyDescent="0.4">
      <c r="A234" s="6">
        <v>45796</v>
      </c>
      <c r="B234" s="1">
        <v>594.85</v>
      </c>
      <c r="D234" s="1">
        <v>522.01</v>
      </c>
      <c r="F234" s="1">
        <v>97.63</v>
      </c>
      <c r="H234" s="1">
        <v>298.02999999999997</v>
      </c>
    </row>
    <row r="235" spans="1:8" x14ac:dyDescent="0.4">
      <c r="A235" s="6">
        <v>45793</v>
      </c>
      <c r="B235" s="1">
        <v>594.20000000000005</v>
      </c>
      <c r="D235" s="1">
        <v>521.51</v>
      </c>
      <c r="F235" s="1">
        <v>97.66</v>
      </c>
      <c r="H235" s="1">
        <v>294.24</v>
      </c>
    </row>
    <row r="236" spans="1:8" x14ac:dyDescent="0.4">
      <c r="A236" s="6">
        <v>45792</v>
      </c>
      <c r="B236" s="1">
        <v>590.46</v>
      </c>
      <c r="D236" s="1">
        <v>519.25</v>
      </c>
      <c r="F236" s="1">
        <v>97.6</v>
      </c>
      <c r="H236" s="1">
        <v>297.83999999999997</v>
      </c>
    </row>
    <row r="237" spans="1:8" x14ac:dyDescent="0.4">
      <c r="A237" s="6">
        <v>45791</v>
      </c>
      <c r="B237" s="1">
        <v>587.59</v>
      </c>
      <c r="D237" s="1">
        <v>518.67999999999995</v>
      </c>
      <c r="F237" s="1">
        <v>97.05</v>
      </c>
      <c r="H237" s="1">
        <v>293.16000000000003</v>
      </c>
    </row>
    <row r="238" spans="1:8" x14ac:dyDescent="0.4">
      <c r="A238" s="6">
        <v>45790</v>
      </c>
      <c r="B238" s="1">
        <v>586.84</v>
      </c>
      <c r="D238" s="1">
        <v>515.59</v>
      </c>
      <c r="F238" s="1">
        <v>97.33</v>
      </c>
      <c r="H238" s="1">
        <v>299.45999999999998</v>
      </c>
    </row>
    <row r="239" spans="1:8" x14ac:dyDescent="0.4">
      <c r="A239" s="6">
        <v>45789</v>
      </c>
      <c r="B239" s="1">
        <v>582.99</v>
      </c>
      <c r="D239" s="1">
        <v>507.85</v>
      </c>
      <c r="F239" s="1">
        <v>97.43</v>
      </c>
      <c r="H239" s="1">
        <v>298.19</v>
      </c>
    </row>
    <row r="240" spans="1:8" x14ac:dyDescent="0.4">
      <c r="A240" s="6">
        <v>45786</v>
      </c>
      <c r="B240" s="1">
        <v>564.34</v>
      </c>
      <c r="D240" s="1">
        <v>487.97</v>
      </c>
      <c r="F240" s="1">
        <v>97.76</v>
      </c>
      <c r="H240" s="1">
        <v>306.83999999999997</v>
      </c>
    </row>
    <row r="241" spans="1:8" x14ac:dyDescent="0.4">
      <c r="A241" s="6">
        <v>45785</v>
      </c>
      <c r="B241" s="1">
        <v>565.05999999999995</v>
      </c>
      <c r="D241" s="1">
        <v>488.29</v>
      </c>
      <c r="F241" s="1">
        <v>97.66</v>
      </c>
      <c r="H241" s="1">
        <v>304.63</v>
      </c>
    </row>
    <row r="242" spans="1:8" x14ac:dyDescent="0.4">
      <c r="A242" s="6">
        <v>45784</v>
      </c>
      <c r="B242" s="1">
        <v>561.15</v>
      </c>
      <c r="D242" s="1">
        <v>483.3</v>
      </c>
      <c r="F242" s="1">
        <v>98.17</v>
      </c>
      <c r="H242" s="1">
        <v>310.75</v>
      </c>
    </row>
    <row r="243" spans="1:8" x14ac:dyDescent="0.4">
      <c r="A243" s="6">
        <v>45783</v>
      </c>
      <c r="B243" s="1">
        <v>558.79999999999995</v>
      </c>
      <c r="D243" s="1">
        <v>481.41</v>
      </c>
      <c r="F243" s="1">
        <v>98.02</v>
      </c>
      <c r="H243" s="1">
        <v>315.48</v>
      </c>
    </row>
    <row r="244" spans="1:8" x14ac:dyDescent="0.4">
      <c r="A244" s="6">
        <v>45782</v>
      </c>
      <c r="B244" s="1">
        <v>563.51</v>
      </c>
      <c r="D244" s="1">
        <v>485.93</v>
      </c>
      <c r="F244" s="1">
        <v>97.78</v>
      </c>
      <c r="H244" s="1">
        <v>306.88</v>
      </c>
    </row>
    <row r="245" spans="1:8" x14ac:dyDescent="0.4">
      <c r="A245" s="6">
        <v>45779</v>
      </c>
      <c r="B245" s="1">
        <v>566.76</v>
      </c>
      <c r="D245" s="1">
        <v>488.83</v>
      </c>
      <c r="F245" s="1">
        <v>97.95</v>
      </c>
      <c r="H245" s="1">
        <v>297.98</v>
      </c>
    </row>
    <row r="246" spans="1:8" x14ac:dyDescent="0.4">
      <c r="A246" s="6">
        <v>45778</v>
      </c>
      <c r="B246" s="1">
        <v>558.47</v>
      </c>
      <c r="D246" s="1">
        <v>481.68</v>
      </c>
      <c r="F246" s="1">
        <v>98.43</v>
      </c>
      <c r="H246" s="1">
        <v>297.45999999999998</v>
      </c>
    </row>
    <row r="247" spans="1:8" x14ac:dyDescent="0.4">
      <c r="A247" s="6">
        <v>45777</v>
      </c>
      <c r="B247" s="1">
        <v>554.54</v>
      </c>
      <c r="D247" s="1">
        <v>475.47</v>
      </c>
      <c r="F247" s="1">
        <v>99.02</v>
      </c>
      <c r="H247" s="1">
        <v>303.77</v>
      </c>
    </row>
    <row r="248" spans="1:8" x14ac:dyDescent="0.4">
      <c r="A248" s="6">
        <v>45776</v>
      </c>
      <c r="B248" s="1">
        <v>554.32000000000005</v>
      </c>
      <c r="D248" s="1">
        <v>475.53</v>
      </c>
      <c r="F248" s="1">
        <v>99.11</v>
      </c>
      <c r="H248" s="1">
        <v>306.06</v>
      </c>
    </row>
    <row r="249" spans="1:8" x14ac:dyDescent="0.4">
      <c r="A249" s="6">
        <v>45775</v>
      </c>
      <c r="B249" s="1">
        <v>550.85</v>
      </c>
      <c r="D249" s="1">
        <v>472.41</v>
      </c>
      <c r="F249" s="1">
        <v>98.87</v>
      </c>
      <c r="H249" s="1">
        <v>309.07</v>
      </c>
    </row>
    <row r="250" spans="1:8" x14ac:dyDescent="0.4">
      <c r="A250" s="6">
        <v>45772</v>
      </c>
      <c r="B250" s="1">
        <v>550.64</v>
      </c>
      <c r="D250" s="1">
        <v>472.56</v>
      </c>
      <c r="F250" s="1">
        <v>98.6</v>
      </c>
      <c r="H250" s="1">
        <v>304.73</v>
      </c>
    </row>
    <row r="251" spans="1:8" x14ac:dyDescent="0.4">
      <c r="A251" s="6">
        <v>45771</v>
      </c>
      <c r="B251" s="1">
        <v>546.69000000000005</v>
      </c>
      <c r="D251" s="1">
        <v>467.35</v>
      </c>
      <c r="F251" s="1">
        <v>98.24</v>
      </c>
      <c r="H251" s="1">
        <v>308.07</v>
      </c>
    </row>
    <row r="252" spans="1:8" x14ac:dyDescent="0.4">
      <c r="A252" s="6">
        <v>45770</v>
      </c>
      <c r="B252" s="1">
        <v>535.41999999999996</v>
      </c>
      <c r="D252" s="1">
        <v>454.56</v>
      </c>
      <c r="F252" s="1">
        <v>97.7</v>
      </c>
      <c r="H252" s="1">
        <v>303.64999999999998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>
      <selection activeCell="A2" sqref="A2"/>
    </sheetView>
  </sheetViews>
  <sheetFormatPr defaultRowHeight="14.6" x14ac:dyDescent="0.4"/>
  <cols>
    <col min="1" max="1" width="14.3828125" style="3" bestFit="1" customWidth="1"/>
    <col min="2" max="3" width="14.3828125" style="1" bestFit="1" customWidth="1"/>
    <col min="4" max="4" width="15.07421875" style="1" bestFit="1" customWidth="1"/>
    <col min="5" max="5" width="14.765625" style="1" bestFit="1" customWidth="1"/>
    <col min="7" max="7" width="12.4609375" style="4" bestFit="1" customWidth="1"/>
  </cols>
  <sheetData>
    <row r="1" spans="1:7" x14ac:dyDescent="0.4">
      <c r="A1" s="1" t="s">
        <v>0</v>
      </c>
      <c r="B1" s="3" t="s">
        <v>2</v>
      </c>
      <c r="C1" s="3" t="s">
        <v>4</v>
      </c>
      <c r="D1" s="3" t="s">
        <v>6</v>
      </c>
      <c r="E1" s="3" t="s">
        <v>8</v>
      </c>
      <c r="G1" s="5" t="s">
        <v>14</v>
      </c>
    </row>
    <row r="2" spans="1:7" x14ac:dyDescent="0.4">
      <c r="A2" s="6">
        <v>46134</v>
      </c>
      <c r="B2" s="3">
        <f>(Prices!B2-Prices!B3)/Prices!B3</f>
        <v>1.0126690148846715E-2</v>
      </c>
      <c r="C2" s="3">
        <f>(Prices!D2-Prices!D3)/Prices!D3</f>
        <v>1.6730557323110785E-2</v>
      </c>
      <c r="D2" s="3">
        <f>(Prices!F2-Prices!F3)/Prices!F3</f>
        <v>1.4074595355383589E-3</v>
      </c>
      <c r="E2" s="3">
        <f>(Prices!H2-Prices!H3)/Prices!H3</f>
        <v>1.3245803943478357E-2</v>
      </c>
      <c r="G2" s="4">
        <f>Inputs!$B$1*((Inputs!$B$6*Returns!B2)+(Inputs!$B$7*Returns!C2)+(Inputs!$B$8*Returns!D2)+(Inputs!$B$9*Returns!E2))</f>
        <v>990.97606685488063</v>
      </c>
    </row>
    <row r="3" spans="1:7" x14ac:dyDescent="0.4">
      <c r="A3" s="6">
        <v>46133</v>
      </c>
      <c r="B3" s="3">
        <f>(Prices!B3-Prices!B4)/Prices!B4</f>
        <v>-8.5335285999942907E-3</v>
      </c>
      <c r="C3" s="3">
        <f>(Prices!D3-Prices!D4)/Prices!D4</f>
        <v>-3.8033983209386705E-3</v>
      </c>
      <c r="D3" s="3">
        <f>(Prices!F3-Prices!F4)/Prices!F4</f>
        <v>-3.7059294871795326E-3</v>
      </c>
      <c r="E3" s="3">
        <f>(Prices!H3-Prices!H4)/Prices!H4</f>
        <v>-3.6687372457560631E-2</v>
      </c>
      <c r="G3" s="4">
        <f>Inputs!$B$1*((Inputs!$B$6*Returns!B3)+(Inputs!$B$7*Returns!C3)+(Inputs!$B$8*Returns!D3)+(Inputs!$B$9*Returns!E3))</f>
        <v>-895.94806377833299</v>
      </c>
    </row>
    <row r="4" spans="1:7" x14ac:dyDescent="0.4">
      <c r="A4" s="6">
        <v>46132</v>
      </c>
      <c r="B4" s="3">
        <f>(Prices!B4-Prices!B5)/Prices!B5</f>
        <v>0</v>
      </c>
      <c r="C4" s="3">
        <f>(Prices!D4-Prices!D5)/Prices!D5</f>
        <v>-3.1748478076597964E-3</v>
      </c>
      <c r="D4" s="3">
        <f>(Prices!F4-Prices!F5)/Prices!F5</f>
        <v>-1.0015022533791592E-4</v>
      </c>
      <c r="E4" s="3">
        <f>(Prices!H4-Prices!H5)/Prices!H5</f>
        <v>0</v>
      </c>
      <c r="G4" s="4">
        <f>Inputs!$B$1*((Inputs!$B$6*Returns!B4)+(Inputs!$B$7*Returns!C4)+(Inputs!$B$8*Returns!D4)+(Inputs!$B$9*Returns!E4))</f>
        <v>-81.874950824942815</v>
      </c>
    </row>
    <row r="5" spans="1:7" x14ac:dyDescent="0.4">
      <c r="A5" s="6">
        <v>46129</v>
      </c>
      <c r="B5" s="3">
        <f>(Prices!B5-Prices!B6)/Prices!B6</f>
        <v>1.2085625516632014E-2</v>
      </c>
      <c r="C5" s="3">
        <f>(Prices!D5-Prices!D6)/Prices!D6</f>
        <v>1.3084141333708051E-2</v>
      </c>
      <c r="D5" s="3">
        <f>(Prices!F5-Prices!F6)/Prices!F6</f>
        <v>3.7193405709689416E-3</v>
      </c>
      <c r="E5" s="3">
        <f>(Prices!H5-Prices!H6)/Prices!H6</f>
        <v>1.3293037629521958E-2</v>
      </c>
      <c r="G5" s="4">
        <f>Inputs!$B$1*((Inputs!$B$6*Returns!B5)+(Inputs!$B$7*Returns!C5)+(Inputs!$B$8*Returns!D5)+(Inputs!$B$9*Returns!E5))</f>
        <v>1036.4424445774248</v>
      </c>
    </row>
    <row r="6" spans="1:7" x14ac:dyDescent="0.4">
      <c r="A6" s="6">
        <v>46128</v>
      </c>
      <c r="B6" s="3">
        <f>(Prices!B6-Prices!B7)/Prices!B7</f>
        <v>2.4573534874416571E-3</v>
      </c>
      <c r="C6" s="3">
        <f>(Prices!D6-Prices!D7)/Prices!D7</f>
        <v>4.8164417947914187E-3</v>
      </c>
      <c r="D6" s="3">
        <f>(Prices!F6-Prices!F7)/Prices!F7</f>
        <v>-1.4053402931138383E-3</v>
      </c>
      <c r="E6" s="3">
        <f>(Prices!H6-Prices!H7)/Prices!H7</f>
        <v>-8.627344140216943E-4</v>
      </c>
      <c r="G6" s="4">
        <f>Inputs!$B$1*((Inputs!$B$6*Returns!B6)+(Inputs!$B$7*Returns!C6)+(Inputs!$B$8*Returns!D6)+(Inputs!$B$9*Returns!E6))</f>
        <v>174.94433289938885</v>
      </c>
    </row>
    <row r="7" spans="1:7" x14ac:dyDescent="0.4">
      <c r="A7" s="6">
        <v>46127</v>
      </c>
      <c r="B7" s="3">
        <f>(Prices!B7-Prices!B8)/Prices!B8</f>
        <v>7.891023241079426E-3</v>
      </c>
      <c r="C7" s="3">
        <f>(Prices!D7-Prices!D8)/Prices!D8</f>
        <v>1.3999363665287869E-2</v>
      </c>
      <c r="D7" s="3">
        <f>(Prices!F7-Prices!F8)/Prices!F8</f>
        <v>-1.6035277610743294E-3</v>
      </c>
      <c r="E7" s="3">
        <f>(Prices!H7-Prices!H8)/Prices!H8</f>
        <v>-1.0402390527758421E-2</v>
      </c>
      <c r="G7" s="4">
        <f>Inputs!$B$1*((Inputs!$B$6*Returns!B7)+(Inputs!$B$7*Returns!C7)+(Inputs!$B$8*Returns!D7)+(Inputs!$B$9*Returns!E7))</f>
        <v>521.5129219709313</v>
      </c>
    </row>
    <row r="8" spans="1:7" x14ac:dyDescent="0.4">
      <c r="A8" s="6">
        <v>46126</v>
      </c>
      <c r="B8" s="3">
        <f>(Prices!B8-Prices!B9)/Prices!B9</f>
        <v>1.2184812709517583E-2</v>
      </c>
      <c r="C8" s="3">
        <f>(Prices!D8-Prices!D9)/Prices!D9</f>
        <v>1.815708061355065E-2</v>
      </c>
      <c r="D8" s="3">
        <f>(Prices!F8-Prices!F9)/Prices!F9</f>
        <v>2.6125401929260965E-3</v>
      </c>
      <c r="E8" s="3">
        <f>(Prices!H8-Prices!H9)/Prices!H9</f>
        <v>2.2349320102903254E-2</v>
      </c>
      <c r="G8" s="4">
        <f>Inputs!$B$1*((Inputs!$B$6*Returns!B8)+(Inputs!$B$7*Returns!C8)+(Inputs!$B$8*Returns!D8)+(Inputs!$B$9*Returns!E8))</f>
        <v>1230.1262295716547</v>
      </c>
    </row>
    <row r="9" spans="1:7" x14ac:dyDescent="0.4">
      <c r="A9" s="6">
        <v>46125</v>
      </c>
      <c r="B9" s="3">
        <f>(Prices!B9-Prices!B10)/Prices!B10</f>
        <v>9.7724663703529068E-3</v>
      </c>
      <c r="C9" s="3">
        <f>(Prices!D9-Prices!D10)/Prices!D10</f>
        <v>1.0342513950938412E-2</v>
      </c>
      <c r="D9" s="3">
        <f>(Prices!F9-Prices!F10)/Prices!F10</f>
        <v>2.0136931131695818E-3</v>
      </c>
      <c r="E9" s="3">
        <f>(Prices!H9-Prices!H10)/Prices!H10</f>
        <v>-4.0491387001578066E-3</v>
      </c>
      <c r="G9" s="4">
        <f>Inputs!$B$1*((Inputs!$B$6*Returns!B9)+(Inputs!$B$7*Returns!C9)+(Inputs!$B$8*Returns!D9)+(Inputs!$B$9*Returns!E9))</f>
        <v>659.31244441523813</v>
      </c>
    </row>
    <row r="10" spans="1:7" x14ac:dyDescent="0.4">
      <c r="A10" s="6">
        <v>46122</v>
      </c>
      <c r="B10" s="3">
        <f>(Prices!B10-Prices!B11)/Prices!B11</f>
        <v>-6.6185230398130897E-4</v>
      </c>
      <c r="C10" s="3">
        <f>(Prices!D10-Prices!D11)/Prices!D11</f>
        <v>1.44217374916009E-3</v>
      </c>
      <c r="D10" s="3">
        <f>(Prices!F10-Prices!F11)/Prices!F11</f>
        <v>-1.7087144436626969E-3</v>
      </c>
      <c r="E10" s="3">
        <f>(Prices!H10-Prices!H11)/Prices!H11</f>
        <v>-1.7811879153251341E-3</v>
      </c>
      <c r="G10" s="4">
        <f>Inputs!$B$1*((Inputs!$B$6*Returns!B10)+(Inputs!$B$7*Returns!C10)+(Inputs!$B$8*Returns!D10)+(Inputs!$B$9*Returns!E10))</f>
        <v>-50.949488675068878</v>
      </c>
    </row>
    <row r="11" spans="1:7" x14ac:dyDescent="0.4">
      <c r="A11" s="6">
        <v>46121</v>
      </c>
      <c r="B11" s="3">
        <f>(Prices!B11-Prices!B12)/Prices!B12</f>
        <v>5.769145426842765E-3</v>
      </c>
      <c r="C11" s="3">
        <f>(Prices!D11-Prices!D12)/Prices!D12</f>
        <v>6.7646719134122364E-3</v>
      </c>
      <c r="D11" s="3">
        <f>(Prices!F11-Prices!F12)/Prices!F12</f>
        <v>6.0343960575267078E-4</v>
      </c>
      <c r="E11" s="3">
        <f>(Prices!H11-Prices!H12)/Prices!H12</f>
        <v>7.7785193197248814E-3</v>
      </c>
      <c r="G11" s="4">
        <f>Inputs!$B$1*((Inputs!$B$6*Returns!B11)+(Inputs!$B$7*Returns!C11)+(Inputs!$B$8*Returns!D11)+(Inputs!$B$9*Returns!E11))</f>
        <v>492.75379825008213</v>
      </c>
    </row>
    <row r="12" spans="1:7" x14ac:dyDescent="0.4">
      <c r="A12" s="6">
        <v>46120</v>
      </c>
      <c r="B12" s="3">
        <f>(Prices!B12-Prices!B13)/Prices!B13</f>
        <v>2.5469494250781169E-2</v>
      </c>
      <c r="C12" s="3">
        <f>(Prices!D12-Prices!D13)/Prices!D13</f>
        <v>2.9732071560848807E-2</v>
      </c>
      <c r="D12" s="3">
        <f>(Prices!F12-Prices!F13)/Prices!F13</f>
        <v>2.6217606130886873E-3</v>
      </c>
      <c r="E12" s="3">
        <f>(Prices!H12-Prices!H13)/Prices!H13</f>
        <v>6.2990667191588209E-3</v>
      </c>
      <c r="G12" s="4">
        <f>Inputs!$B$1*((Inputs!$B$6*Returns!B12)+(Inputs!$B$7*Returns!C12)+(Inputs!$B$8*Returns!D12)+(Inputs!$B$9*Returns!E12))</f>
        <v>1890.6162415712724</v>
      </c>
    </row>
    <row r="13" spans="1:7" x14ac:dyDescent="0.4">
      <c r="A13" s="6">
        <v>46119</v>
      </c>
      <c r="B13" s="3">
        <f>(Prices!B13-Prices!B14)/Prices!B14</f>
        <v>4.4010744692164164E-4</v>
      </c>
      <c r="C13" s="3">
        <f>(Prices!D13-Prices!D14)/Prices!D14</f>
        <v>1.5293118096861824E-4</v>
      </c>
      <c r="D13" s="3">
        <f>(Prices!F13-Prices!F14)/Prices!F14</f>
        <v>1.2115093387178653E-3</v>
      </c>
      <c r="E13" s="3">
        <f>(Prices!H13-Prices!H14)/Prices!H14</f>
        <v>9.7275809657430736E-3</v>
      </c>
      <c r="G13" s="4">
        <f>Inputs!$B$1*((Inputs!$B$6*Returns!B13)+(Inputs!$B$7*Returns!C13)+(Inputs!$B$8*Returns!D13)+(Inputs!$B$9*Returns!E13))</f>
        <v>148.99112052645847</v>
      </c>
    </row>
    <row r="14" spans="1:7" x14ac:dyDescent="0.4">
      <c r="A14" s="6">
        <v>46118</v>
      </c>
      <c r="B14" s="3">
        <f>(Prices!B14-Prices!B15)/Prices!B15</f>
        <v>4.7268346980161155E-3</v>
      </c>
      <c r="C14" s="3">
        <f>(Prices!D14-Prices!D15)/Prices!D15</f>
        <v>6.0172997367431051E-3</v>
      </c>
      <c r="D14" s="3">
        <f>(Prices!F14-Prices!F15)/Prices!F15</f>
        <v>-1.8139675501361162E-3</v>
      </c>
      <c r="E14" s="3">
        <f>(Prices!H14-Prices!H15)/Prices!H15</f>
        <v>-4.0986469807411281E-3</v>
      </c>
      <c r="G14" s="4">
        <f>Inputs!$B$1*((Inputs!$B$6*Returns!B14)+(Inputs!$B$7*Returns!C14)+(Inputs!$B$8*Returns!D14)+(Inputs!$B$9*Returns!E14))</f>
        <v>253.17022277840809</v>
      </c>
    </row>
    <row r="15" spans="1:7" x14ac:dyDescent="0.4">
      <c r="A15" s="6">
        <v>46114</v>
      </c>
      <c r="B15" s="3">
        <f>(Prices!B15-Prices!B16)/Prices!B16</f>
        <v>9.0043342897263873E-4</v>
      </c>
      <c r="C15" s="3">
        <f>(Prices!D15-Prices!D16)/Prices!D16</f>
        <v>1.1466516061680834E-3</v>
      </c>
      <c r="D15" s="3">
        <f>(Prices!F15-Prices!F16)/Prices!F16</f>
        <v>2.3232323232323633E-3</v>
      </c>
      <c r="E15" s="3">
        <f>(Prices!H15-Prices!H16)/Prices!H16</f>
        <v>-1.9208807272394976E-2</v>
      </c>
      <c r="G15" s="4">
        <f>Inputs!$B$1*((Inputs!$B$6*Returns!B15)+(Inputs!$B$7*Returns!C15)+(Inputs!$B$8*Returns!D15)+(Inputs!$B$9*Returns!E15))</f>
        <v>-69.323637330033037</v>
      </c>
    </row>
    <row r="16" spans="1:7" x14ac:dyDescent="0.4">
      <c r="A16" s="6">
        <v>46113</v>
      </c>
      <c r="B16" s="3">
        <f>(Prices!B16-Prices!B17)/Prices!B17</f>
        <v>7.5345204047113463E-3</v>
      </c>
      <c r="C16" s="3">
        <f>(Prices!D16-Prices!D17)/Prices!D17</f>
        <v>1.2353165390346159E-2</v>
      </c>
      <c r="D16" s="3">
        <f>(Prices!F16-Prices!F17)/Prices!F17</f>
        <v>-2.7198549410697697E-3</v>
      </c>
      <c r="E16" s="3">
        <f>(Prices!H16-Prices!H17)/Prices!H17</f>
        <v>1.7499825698947157E-2</v>
      </c>
      <c r="G16" s="4">
        <f>Inputs!$B$1*((Inputs!$B$6*Returns!B16)+(Inputs!$B$7*Returns!C16)+(Inputs!$B$8*Returns!D16)+(Inputs!$B$9*Returns!E16))</f>
        <v>717.21183440983509</v>
      </c>
    </row>
    <row r="17" spans="1:7" x14ac:dyDescent="0.4">
      <c r="A17" s="6">
        <v>46112</v>
      </c>
      <c r="B17" s="3">
        <f>(Prices!B17-Prices!B18)/Prices!B18</f>
        <v>2.9067835498520506E-2</v>
      </c>
      <c r="C17" s="3">
        <f>(Prices!D17-Prices!D18)/Prices!D18</f>
        <v>3.3853980081679405E-2</v>
      </c>
      <c r="D17" s="3">
        <f>(Prices!F17-Prices!F18)/Prices!F18</f>
        <v>2.322294022617021E-3</v>
      </c>
      <c r="E17" s="3">
        <f>(Prices!H17-Prices!H18)/Prices!H18</f>
        <v>3.7893772010227304E-2</v>
      </c>
      <c r="G17" s="4">
        <f>Inputs!$B$1*((Inputs!$B$6*Returns!B17)+(Inputs!$B$7*Returns!C17)+(Inputs!$B$8*Returns!D17)+(Inputs!$B$9*Returns!E17))</f>
        <v>2446.0579926505038</v>
      </c>
    </row>
    <row r="18" spans="1:7" x14ac:dyDescent="0.4">
      <c r="A18" s="6">
        <v>46111</v>
      </c>
      <c r="B18" s="3">
        <f>(Prices!B18-Prices!B19)/Prices!B19</f>
        <v>-3.3433739689949448E-3</v>
      </c>
      <c r="C18" s="3">
        <f>(Prices!D18-Prices!D19)/Prices!D19</f>
        <v>-7.6433573891714389E-3</v>
      </c>
      <c r="D18" s="3">
        <f>(Prices!F18-Prices!F19)/Prices!F19</f>
        <v>5.0740815912319864E-3</v>
      </c>
      <c r="E18" s="3">
        <f>(Prices!H18-Prices!H19)/Prices!H19</f>
        <v>-2.8936580660719687E-4</v>
      </c>
      <c r="G18" s="4">
        <f>Inputs!$B$1*((Inputs!$B$6*Returns!B18)+(Inputs!$B$7*Returns!C18)+(Inputs!$B$8*Returns!D18)+(Inputs!$B$9*Returns!E18))</f>
        <v>-200.86051177435607</v>
      </c>
    </row>
    <row r="19" spans="1:7" x14ac:dyDescent="0.4">
      <c r="A19" s="6">
        <v>46108</v>
      </c>
      <c r="B19" s="3">
        <f>(Prices!B19-Prices!B20)/Prices!B20</f>
        <v>-1.7051884233207769E-2</v>
      </c>
      <c r="C19" s="3">
        <f>(Prices!D19-Prices!D20)/Prices!D20</f>
        <v>-1.953676432144151E-2</v>
      </c>
      <c r="D19" s="3">
        <f>(Prices!F19-Prices!F20)/Prices!F20</f>
        <v>-1.014713343479544E-4</v>
      </c>
      <c r="E19" s="3">
        <f>(Prices!H19-Prices!H20)/Prices!H20</f>
        <v>3.5093849840255598E-2</v>
      </c>
      <c r="G19" s="4">
        <f>Inputs!$B$1*((Inputs!$B$6*Returns!B19)+(Inputs!$B$7*Returns!C19)+(Inputs!$B$8*Returns!D19)+(Inputs!$B$9*Returns!E19))</f>
        <v>-822.09276232049137</v>
      </c>
    </row>
    <row r="20" spans="1:7" x14ac:dyDescent="0.4">
      <c r="A20" s="6">
        <v>46107</v>
      </c>
      <c r="B20" s="3">
        <f>(Prices!B20-Prices!B21)/Prices!B21</f>
        <v>-1.7858774093358936E-2</v>
      </c>
      <c r="C20" s="3">
        <f>(Prices!D20-Prices!D21)/Prices!D21</f>
        <v>-2.3867850702596179E-2</v>
      </c>
      <c r="D20" s="3">
        <f>(Prices!F20-Prices!F21)/Prices!F21</f>
        <v>-5.6502875592775934E-3</v>
      </c>
      <c r="E20" s="3">
        <f>(Prices!H20-Prices!H21)/Prices!H21</f>
        <v>-3.7593984962406096E-2</v>
      </c>
      <c r="G20" s="4">
        <f>Inputs!$B$1*((Inputs!$B$6*Returns!B20)+(Inputs!$B$7*Returns!C20)+(Inputs!$B$8*Returns!D20)+(Inputs!$B$9*Returns!E20))</f>
        <v>-1828.2442699052629</v>
      </c>
    </row>
    <row r="21" spans="1:7" x14ac:dyDescent="0.4">
      <c r="A21" s="6">
        <v>46106</v>
      </c>
      <c r="B21" s="3">
        <f>(Prices!B21-Prices!B22)/Prices!B22</f>
        <v>5.5727364585567533E-3</v>
      </c>
      <c r="C21" s="3">
        <f>(Prices!D21-Prices!D22)/Prices!D22</f>
        <v>6.575567656426644E-3</v>
      </c>
      <c r="D21" s="3">
        <f>(Prices!F21-Prices!F22)/Prices!F22</f>
        <v>3.5439449169703758E-3</v>
      </c>
      <c r="E21" s="3">
        <f>(Prices!H21-Prices!H22)/Prices!H22</f>
        <v>3.0089327691584452E-2</v>
      </c>
      <c r="G21" s="4">
        <f>Inputs!$B$1*((Inputs!$B$6*Returns!B21)+(Inputs!$B$7*Returns!C21)+(Inputs!$B$8*Returns!D21)+(Inputs!$B$9*Returns!E21))</f>
        <v>776.79054959304017</v>
      </c>
    </row>
    <row r="22" spans="1:7" x14ac:dyDescent="0.4">
      <c r="A22" s="6">
        <v>46105</v>
      </c>
      <c r="B22" s="3">
        <f>(Prices!B22-Prices!B23)/Prices!B23</f>
        <v>-3.3568311513931543E-3</v>
      </c>
      <c r="C22" s="3">
        <f>(Prices!D22-Prices!D23)/Prices!D23</f>
        <v>-6.8367346938775202E-3</v>
      </c>
      <c r="D22" s="3">
        <f>(Prices!F22-Prices!F23)/Prices!F23</f>
        <v>-2.7264465313540948E-3</v>
      </c>
      <c r="E22" s="3">
        <f>(Prices!H22-Prices!H23)/Prices!H23</f>
        <v>2.2275022275016084E-4</v>
      </c>
      <c r="G22" s="4">
        <f>Inputs!$B$1*((Inputs!$B$6*Returns!B22)+(Inputs!$B$7*Returns!C22)+(Inputs!$B$8*Returns!D22)+(Inputs!$B$9*Returns!E22))</f>
        <v>-371.12527445901497</v>
      </c>
    </row>
    <row r="23" spans="1:7" x14ac:dyDescent="0.4">
      <c r="A23" s="6">
        <v>46104</v>
      </c>
      <c r="B23" s="3">
        <f>(Prices!B23-Prices!B24)/Prices!B24</f>
        <v>1.0500023127804162E-2</v>
      </c>
      <c r="C23" s="3">
        <f>(Prices!D23-Prices!D24)/Prices!D24</f>
        <v>1.0205133491392735E-2</v>
      </c>
      <c r="D23" s="3">
        <f>(Prices!F23-Prices!F24)/Prices!F24</f>
        <v>3.7502533954997422E-3</v>
      </c>
      <c r="E23" s="3">
        <f>(Prices!H23-Prices!H24)/Prices!H24</f>
        <v>-2.2594223232860745E-2</v>
      </c>
      <c r="G23" s="4">
        <f>Inputs!$B$1*((Inputs!$B$6*Returns!B23)+(Inputs!$B$7*Returns!C23)+(Inputs!$B$8*Returns!D23)+(Inputs!$B$9*Returns!E23))</f>
        <v>542.94336495587095</v>
      </c>
    </row>
    <row r="24" spans="1:7" x14ac:dyDescent="0.4">
      <c r="A24" s="6">
        <v>46101</v>
      </c>
      <c r="B24" s="3">
        <f>(Prices!B24-Prices!B25)/Prices!B25</f>
        <v>-1.7020309184601252E-2</v>
      </c>
      <c r="C24" s="3">
        <f>(Prices!D24-Prices!D25)/Prices!D25</f>
        <v>-1.8481670095443724E-2</v>
      </c>
      <c r="D24" s="3">
        <f>(Prices!F24-Prices!F25)/Prices!F25</f>
        <v>-8.3425469896471847E-3</v>
      </c>
      <c r="E24" s="3">
        <f>(Prices!H24-Prices!H25)/Prices!H25</f>
        <v>-3.0557444712835131E-2</v>
      </c>
      <c r="G24" s="4">
        <f>Inputs!$B$1*((Inputs!$B$6*Returns!B24)+(Inputs!$B$7*Returns!C24)+(Inputs!$B$8*Returns!D24)+(Inputs!$B$9*Returns!E24))</f>
        <v>-1656.9922416396741</v>
      </c>
    </row>
    <row r="25" spans="1:7" x14ac:dyDescent="0.4">
      <c r="A25" s="6">
        <v>46100</v>
      </c>
      <c r="B25" s="3">
        <f>(Prices!B25-Prices!B26)/Prices!B26</f>
        <v>-2.4643575283854612E-3</v>
      </c>
      <c r="C25" s="3">
        <f>(Prices!D25-Prices!D26)/Prices!D26</f>
        <v>-3.1601949907547411E-3</v>
      </c>
      <c r="D25" s="3">
        <f>(Prices!F25-Prices!F26)/Prices!F26</f>
        <v>1.1068625477963316E-3</v>
      </c>
      <c r="E25" s="3">
        <f>(Prices!H25-Prices!H26)/Prices!H26</f>
        <v>-4.1215091963844007E-2</v>
      </c>
      <c r="G25" s="4">
        <f>Inputs!$B$1*((Inputs!$B$6*Returns!B25)+(Inputs!$B$7*Returns!C25)+(Inputs!$B$8*Returns!D25)+(Inputs!$B$9*Returns!E25))</f>
        <v>-562.0585318478187</v>
      </c>
    </row>
    <row r="26" spans="1:7" x14ac:dyDescent="0.4">
      <c r="A26" s="6">
        <v>46099</v>
      </c>
      <c r="B26" s="3">
        <f>(Prices!B26-Prices!B27)/Prices!B27</f>
        <v>-1.3953696387841222E-2</v>
      </c>
      <c r="C26" s="3">
        <f>(Prices!D26-Prices!D27)/Prices!D27</f>
        <v>-1.3939765626294887E-2</v>
      </c>
      <c r="D26" s="3">
        <f>(Prices!F26-Prices!F27)/Prices!F27</f>
        <v>-4.2084168336673517E-3</v>
      </c>
      <c r="E26" s="3">
        <f>(Prices!H26-Prices!H27)/Prices!H27</f>
        <v>-3.1637163324406067E-2</v>
      </c>
      <c r="G26" s="4">
        <f>Inputs!$B$1*((Inputs!$B$6*Returns!B26)+(Inputs!$B$7*Returns!C26)+(Inputs!$B$8*Returns!D26)+(Inputs!$B$9*Returns!E26))</f>
        <v>-1328.2240502567654</v>
      </c>
    </row>
    <row r="27" spans="1:7" x14ac:dyDescent="0.4">
      <c r="A27" s="6">
        <v>46098</v>
      </c>
      <c r="B27" s="3">
        <f>(Prices!B27-Prices!B28)/Prices!B28</f>
        <v>2.6306742597491757E-3</v>
      </c>
      <c r="C27" s="3">
        <f>(Prices!D27-Prices!D28)/Prices!D28</f>
        <v>4.8802425130749696E-3</v>
      </c>
      <c r="D27" s="3">
        <f>(Prices!F27-Prices!F28)/Prices!F28</f>
        <v>2.0080321285140847E-3</v>
      </c>
      <c r="E27" s="3">
        <f>(Prices!H27-Prices!H28)/Prices!H28</f>
        <v>-2.5193840540364983E-3</v>
      </c>
      <c r="G27" s="4">
        <f>Inputs!$B$1*((Inputs!$B$6*Returns!B27)+(Inputs!$B$7*Returns!C27)+(Inputs!$B$8*Returns!D27)+(Inputs!$B$9*Returns!E27))</f>
        <v>252.23999588932841</v>
      </c>
    </row>
    <row r="28" spans="1:7" x14ac:dyDescent="0.4">
      <c r="A28" s="6">
        <v>46097</v>
      </c>
      <c r="B28" s="3">
        <f>(Prices!B28-Prices!B29)/Prices!B29</f>
        <v>1.0176810762656856E-2</v>
      </c>
      <c r="C28" s="3">
        <f>(Prices!D28-Prices!D29)/Prices!D29</f>
        <v>1.1217408879606495E-2</v>
      </c>
      <c r="D28" s="3">
        <f>(Prices!F28-Prices!F29)/Prices!F29</f>
        <v>3.9310553371635984E-3</v>
      </c>
      <c r="E28" s="3">
        <f>(Prices!H28-Prices!H29)/Prices!H29</f>
        <v>-8.896797153024221E-4</v>
      </c>
      <c r="G28" s="4">
        <f>Inputs!$B$1*((Inputs!$B$6*Returns!B28)+(Inputs!$B$7*Returns!C28)+(Inputs!$B$8*Returns!D28)+(Inputs!$B$9*Returns!E28))</f>
        <v>776.88723877250231</v>
      </c>
    </row>
    <row r="29" spans="1:7" x14ac:dyDescent="0.4">
      <c r="A29" s="6">
        <v>46094</v>
      </c>
      <c r="B29" s="3">
        <f>(Prices!B29-Prices!B30)/Prices!B30</f>
        <v>-5.6601507371707984E-3</v>
      </c>
      <c r="C29" s="3">
        <f>(Prices!D29-Prices!D30)/Prices!D30</f>
        <v>-5.9270669390214708E-3</v>
      </c>
      <c r="D29" s="3">
        <f>(Prices!F29-Prices!F30)/Prices!F30</f>
        <v>-8.0572061637639741E-4</v>
      </c>
      <c r="E29" s="3">
        <f>(Prices!H29-Prices!H30)/Prices!H30</f>
        <v>-1.29369431117204E-2</v>
      </c>
      <c r="G29" s="4">
        <f>Inputs!$B$1*((Inputs!$B$6*Returns!B29)+(Inputs!$B$7*Returns!C29)+(Inputs!$B$8*Returns!D29)+(Inputs!$B$9*Returns!E29))</f>
        <v>-524.09514948898266</v>
      </c>
    </row>
    <row r="30" spans="1:7" x14ac:dyDescent="0.4">
      <c r="A30" s="6">
        <v>46093</v>
      </c>
      <c r="B30" s="3">
        <f>(Prices!B30-Prices!B31)/Prices!B31</f>
        <v>-1.5184894947732756E-2</v>
      </c>
      <c r="C30" s="3">
        <f>(Prices!D30-Prices!D31)/Prices!D31</f>
        <v>-1.7163356316543078E-2</v>
      </c>
      <c r="D30" s="3">
        <f>(Prices!F30-Prices!F31)/Prices!F31</f>
        <v>-3.7126229179208345E-3</v>
      </c>
      <c r="E30" s="3">
        <f>(Prices!H30-Prices!H31)/Prices!H31</f>
        <v>-1.9653955988577217E-2</v>
      </c>
      <c r="G30" s="4">
        <f>Inputs!$B$1*((Inputs!$B$6*Returns!B30)+(Inputs!$B$7*Returns!C30)+(Inputs!$B$8*Returns!D30)+(Inputs!$B$9*Returns!E30))</f>
        <v>-1325.8348386566802</v>
      </c>
    </row>
    <row r="31" spans="1:7" x14ac:dyDescent="0.4">
      <c r="A31" s="6">
        <v>46092</v>
      </c>
      <c r="B31" s="3">
        <f>(Prices!B31-Prices!B32)/Prices!B32</f>
        <v>-1.255205410673542E-3</v>
      </c>
      <c r="C31" s="3">
        <f>(Prices!D31-Prices!D32)/Prices!D32</f>
        <v>-1.3162874113550725E-4</v>
      </c>
      <c r="D31" s="3">
        <f>(Prices!F31-Prices!F32)/Prices!F32</f>
        <v>-4.4950554390171095E-3</v>
      </c>
      <c r="E31" s="3">
        <f>(Prices!H31-Prices!H32)/Prices!H32</f>
        <v>-3.3901142594065302E-3</v>
      </c>
      <c r="G31" s="4">
        <f>Inputs!$B$1*((Inputs!$B$6*Returns!B31)+(Inputs!$B$7*Returns!C31)+(Inputs!$B$8*Returns!D31)+(Inputs!$B$9*Returns!E31))</f>
        <v>-199.77646352482242</v>
      </c>
    </row>
    <row r="32" spans="1:7" x14ac:dyDescent="0.4">
      <c r="A32" s="6">
        <v>46091</v>
      </c>
      <c r="B32" s="3">
        <f>(Prices!B32-Prices!B33)/Prices!B33</f>
        <v>-1.6070296489599006E-3</v>
      </c>
      <c r="C32" s="3">
        <f>(Prices!D32-Prices!D33)/Prices!D33</f>
        <v>1.6453863367103636E-5</v>
      </c>
      <c r="D32" s="3">
        <f>(Prices!F32-Prices!F33)/Prices!F33</f>
        <v>-3.2855436081242364E-3</v>
      </c>
      <c r="E32" s="3">
        <f>(Prices!H32-Prices!H33)/Prices!H33</f>
        <v>1.1279707108543461E-2</v>
      </c>
      <c r="G32" s="4">
        <f>Inputs!$B$1*((Inputs!$B$6*Returns!B32)+(Inputs!$B$7*Returns!C32)+(Inputs!$B$8*Returns!D32)+(Inputs!$B$9*Returns!E32))</f>
        <v>-33.21135849188974</v>
      </c>
    </row>
    <row r="33" spans="1:7" x14ac:dyDescent="0.4">
      <c r="A33" s="6">
        <v>46090</v>
      </c>
      <c r="B33" s="3">
        <f>(Prices!B33-Prices!B34)/Prices!B34</f>
        <v>8.7599274219934947E-3</v>
      </c>
      <c r="C33" s="3">
        <f>(Prices!D33-Prices!D34)/Prices!D34</f>
        <v>1.3355564818674432E-2</v>
      </c>
      <c r="D33" s="3">
        <f>(Prices!F33-Prices!F34)/Prices!F34</f>
        <v>3.1961646024769594E-3</v>
      </c>
      <c r="E33" s="3">
        <f>(Prices!H33-Prices!H34)/Prices!H34</f>
        <v>-2.069650060188841E-3</v>
      </c>
      <c r="G33" s="4">
        <f>Inputs!$B$1*((Inputs!$B$6*Returns!B33)+(Inputs!$B$7*Returns!C33)+(Inputs!$B$8*Returns!D33)+(Inputs!$B$9*Returns!E33))</f>
        <v>743.49383180663619</v>
      </c>
    </row>
    <row r="34" spans="1:7" x14ac:dyDescent="0.4">
      <c r="A34" s="6">
        <v>46087</v>
      </c>
      <c r="B34" s="3">
        <f>(Prices!B34-Prices!B35)/Prices!B35</f>
        <v>-1.3107102493725251E-2</v>
      </c>
      <c r="C34" s="3">
        <f>(Prices!D34-Prices!D35)/Prices!D35</f>
        <v>-1.5043274047067659E-2</v>
      </c>
      <c r="D34" s="3">
        <f>(Prices!F34-Prices!F35)/Prices!F35</f>
        <v>-1.1971268954508215E-3</v>
      </c>
      <c r="E34" s="3">
        <f>(Prices!H34-Prices!H35)/Prices!H35</f>
        <v>1.5832493081329235E-2</v>
      </c>
      <c r="G34" s="4">
        <f>Inputs!$B$1*((Inputs!$B$6*Returns!B34)+(Inputs!$B$7*Returns!C34)+(Inputs!$B$8*Returns!D34)+(Inputs!$B$9*Returns!E34))</f>
        <v>-771.96919249867983</v>
      </c>
    </row>
    <row r="35" spans="1:7" x14ac:dyDescent="0.4">
      <c r="A35" s="6">
        <v>46086</v>
      </c>
      <c r="B35" s="3">
        <f>(Prices!B35-Prices!B36)/Prices!B36</f>
        <v>-5.575584195700159E-3</v>
      </c>
      <c r="C35" s="3">
        <f>(Prices!D35-Prices!D36)/Prices!D36</f>
        <v>-3.0126893164142969E-3</v>
      </c>
      <c r="D35" s="3">
        <f>(Prices!F35-Prices!F36)/Prices!F36</f>
        <v>-2.884711031532938E-3</v>
      </c>
      <c r="E35" s="3">
        <f>(Prices!H35-Prices!H36)/Prices!H36</f>
        <v>-1.2017804154302704E-2</v>
      </c>
      <c r="G35" s="4">
        <f>Inputs!$B$1*((Inputs!$B$6*Returns!B35)+(Inputs!$B$7*Returns!C35)+(Inputs!$B$8*Returns!D35)+(Inputs!$B$9*Returns!E35))</f>
        <v>-490.6364180697143</v>
      </c>
    </row>
    <row r="36" spans="1:7" x14ac:dyDescent="0.4">
      <c r="A36" s="6">
        <v>46085</v>
      </c>
      <c r="B36" s="3">
        <f>(Prices!B36-Prices!B37)/Prices!B37</f>
        <v>7.0553995854952074E-3</v>
      </c>
      <c r="C36" s="3">
        <f>(Prices!D36-Prices!D37)/Prices!D37</f>
        <v>1.5243192925296649E-2</v>
      </c>
      <c r="D36" s="3">
        <f>(Prices!F36-Prices!F37)/Prices!F37</f>
        <v>-3.9773292234256781E-4</v>
      </c>
      <c r="E36" s="3">
        <f>(Prices!H36-Prices!H37)/Prices!H37</f>
        <v>7.8181740504977681E-3</v>
      </c>
      <c r="G36" s="4">
        <f>Inputs!$B$1*((Inputs!$B$6*Returns!B36)+(Inputs!$B$7*Returns!C36)+(Inputs!$B$8*Returns!D36)+(Inputs!$B$9*Returns!E36))</f>
        <v>731.53422399863803</v>
      </c>
    </row>
    <row r="37" spans="1:7" x14ac:dyDescent="0.4">
      <c r="A37" s="6">
        <v>46084</v>
      </c>
      <c r="B37" s="3">
        <f>(Prices!B37-Prices!B38)/Prices!B38</f>
        <v>-8.8143593927561322E-3</v>
      </c>
      <c r="C37" s="3">
        <f>(Prices!D37-Prices!D38)/Prices!D38</f>
        <v>-1.0705652123863228E-2</v>
      </c>
      <c r="D37" s="3">
        <f>(Prices!F37-Prices!F38)/Prices!F38</f>
        <v>-1.0925705204610015E-3</v>
      </c>
      <c r="E37" s="3">
        <f>(Prices!H37-Prices!H38)/Prices!H38</f>
        <v>-4.4612244897959209E-2</v>
      </c>
      <c r="G37" s="4">
        <f>Inputs!$B$1*((Inputs!$B$6*Returns!B37)+(Inputs!$B$7*Returns!C37)+(Inputs!$B$8*Returns!D37)+(Inputs!$B$9*Returns!E37))</f>
        <v>-1093.6523907979431</v>
      </c>
    </row>
    <row r="38" spans="1:7" x14ac:dyDescent="0.4">
      <c r="A38" s="6">
        <v>46083</v>
      </c>
      <c r="B38" s="3">
        <f>(Prices!B38-Prices!B39)/Prices!B39</f>
        <v>5.6852140701757513E-4</v>
      </c>
      <c r="C38" s="3">
        <f>(Prices!D38-Prices!D39)/Prices!D39</f>
        <v>1.3173278005566833E-3</v>
      </c>
      <c r="D38" s="3">
        <f>(Prices!F38-Prices!F39)/Prices!F39</f>
        <v>-7.1005917159763197E-3</v>
      </c>
      <c r="E38" s="3">
        <f>(Prices!H38-Prices!H39)/Prices!H39</f>
        <v>1.2919896640826873E-2</v>
      </c>
      <c r="G38" s="4">
        <f>Inputs!$B$1*((Inputs!$B$6*Returns!B38)+(Inputs!$B$7*Returns!C38)+(Inputs!$B$8*Returns!D38)+(Inputs!$B$9*Returns!E38))</f>
        <v>7.3582248034808391</v>
      </c>
    </row>
    <row r="39" spans="1:7" x14ac:dyDescent="0.4">
      <c r="A39" s="6">
        <v>46080</v>
      </c>
      <c r="B39" s="3">
        <f>(Prices!B39-Prices!B40)/Prices!B40</f>
        <v>-4.8019730161032144E-3</v>
      </c>
      <c r="C39" s="3">
        <f>(Prices!D39-Prices!D40)/Prices!D40</f>
        <v>-3.2007090801655265E-3</v>
      </c>
      <c r="D39" s="3">
        <f>(Prices!F39-Prices!F40)/Prices!F40</f>
        <v>1.9762845849802652E-3</v>
      </c>
      <c r="E39" s="3">
        <f>(Prices!H39-Prices!H40)/Prices!H40</f>
        <v>1.3131440060316624E-2</v>
      </c>
      <c r="G39" s="4">
        <f>Inputs!$B$1*((Inputs!$B$6*Returns!B39)+(Inputs!$B$7*Returns!C39)+(Inputs!$B$8*Returns!D39)+(Inputs!$B$9*Returns!E39))</f>
        <v>-91.375132420593857</v>
      </c>
    </row>
    <row r="40" spans="1:7" x14ac:dyDescent="0.4">
      <c r="A40" s="6">
        <v>46079</v>
      </c>
      <c r="B40" s="3">
        <f>(Prices!B40-Prices!B41)/Prices!B41</f>
        <v>-5.5543533145784073E-3</v>
      </c>
      <c r="C40" s="3">
        <f>(Prices!D40-Prices!D41)/Prices!D41</f>
        <v>-1.2064604008561882E-2</v>
      </c>
      <c r="D40" s="3">
        <f>(Prices!F40-Prices!F41)/Prices!F41</f>
        <v>1.5835312747426423E-3</v>
      </c>
      <c r="E40" s="3">
        <f>(Prices!H40-Prices!H41)/Prices!H41</f>
        <v>8.5758945545181906E-3</v>
      </c>
      <c r="G40" s="4">
        <f>Inputs!$B$1*((Inputs!$B$6*Returns!B40)+(Inputs!$B$7*Returns!C40)+(Inputs!$B$8*Returns!D40)+(Inputs!$B$9*Returns!E40))</f>
        <v>-398.44200538343534</v>
      </c>
    </row>
    <row r="41" spans="1:7" x14ac:dyDescent="0.4">
      <c r="A41" s="6">
        <v>46078</v>
      </c>
      <c r="B41" s="3">
        <f>(Prices!B41-Prices!B42)/Prices!B42</f>
        <v>8.4382046992070338E-3</v>
      </c>
      <c r="C41" s="3">
        <f>(Prices!D41-Prices!D42)/Prices!D42</f>
        <v>1.4493230460460206E-2</v>
      </c>
      <c r="D41" s="3">
        <f>(Prices!F41-Prices!F42)/Prices!F42</f>
        <v>-4.9460876446727822E-4</v>
      </c>
      <c r="E41" s="3">
        <f>(Prices!H41-Prices!H42)/Prices!H42</f>
        <v>-2.5073218010577057E-3</v>
      </c>
      <c r="G41" s="4">
        <f>Inputs!$B$1*((Inputs!$B$6*Returns!B41)+(Inputs!$B$7*Returns!C41)+(Inputs!$B$8*Returns!D41)+(Inputs!$B$9*Returns!E41))</f>
        <v>662.42051235752751</v>
      </c>
    </row>
    <row r="42" spans="1:7" x14ac:dyDescent="0.4">
      <c r="A42" s="6">
        <v>46077</v>
      </c>
      <c r="B42" s="3">
        <f>(Prices!B42-Prices!B43)/Prices!B43</f>
        <v>7.2685707586571261E-3</v>
      </c>
      <c r="C42" s="3">
        <f>(Prices!D42-Prices!D43)/Prices!D43</f>
        <v>1.0741424319515866E-2</v>
      </c>
      <c r="D42" s="3">
        <f>(Prices!F42-Prices!F43)/Prices!F43</f>
        <v>-9.8911968348080177E-5</v>
      </c>
      <c r="E42" s="3">
        <f>(Prices!H42-Prices!H43)/Prices!H43</f>
        <v>-1.385887632978715E-2</v>
      </c>
      <c r="G42" s="4">
        <f>Inputs!$B$1*((Inputs!$B$6*Returns!B42)+(Inputs!$B$7*Returns!C42)+(Inputs!$B$8*Returns!D42)+(Inputs!$B$9*Returns!E42))</f>
        <v>418.21687582760819</v>
      </c>
    </row>
    <row r="43" spans="1:7" x14ac:dyDescent="0.4">
      <c r="A43" s="6">
        <v>46076</v>
      </c>
      <c r="B43" s="3">
        <f>(Prices!B43-Prices!B44)/Prices!B44</f>
        <v>-1.0211334000551128E-2</v>
      </c>
      <c r="C43" s="3">
        <f>(Prices!D43-Prices!D44)/Prices!D44</f>
        <v>-1.2154859479969084E-2</v>
      </c>
      <c r="D43" s="3">
        <f>(Prices!F43-Prices!F44)/Prices!F44</f>
        <v>1.9821605550048426E-3</v>
      </c>
      <c r="E43" s="3">
        <f>(Prices!H43-Prices!H44)/Prices!H44</f>
        <v>2.7015492296530171E-2</v>
      </c>
      <c r="G43" s="4">
        <f>Inputs!$B$1*((Inputs!$B$6*Returns!B43)+(Inputs!$B$7*Returns!C43)+(Inputs!$B$8*Returns!D43)+(Inputs!$B$9*Returns!E43))</f>
        <v>-392.61591018084931</v>
      </c>
    </row>
    <row r="44" spans="1:7" x14ac:dyDescent="0.4">
      <c r="A44" s="6">
        <v>46073</v>
      </c>
      <c r="B44" s="3">
        <f>(Prices!B44-Prices!B45)/Prices!B45</f>
        <v>7.2317671809255663E-3</v>
      </c>
      <c r="C44" s="3">
        <f>(Prices!D44-Prices!D45)/Prices!D45</f>
        <v>8.84882429946794E-3</v>
      </c>
      <c r="D44" s="3">
        <f>(Prices!F44-Prices!F45)/Prices!F45</f>
        <v>1.9825535289462958E-4</v>
      </c>
      <c r="E44" s="3">
        <f>(Prices!H44-Prices!H45)/Prices!H45</f>
        <v>1.9714509530855608E-2</v>
      </c>
      <c r="G44" s="4">
        <f>Inputs!$B$1*((Inputs!$B$6*Returns!B44)+(Inputs!$B$7*Returns!C44)+(Inputs!$B$8*Returns!D44)+(Inputs!$B$9*Returns!E44))</f>
        <v>712.59277385464293</v>
      </c>
    </row>
    <row r="45" spans="1:7" x14ac:dyDescent="0.4">
      <c r="A45" s="6">
        <v>46072</v>
      </c>
      <c r="B45" s="3">
        <f>(Prices!B45-Prices!B46)/Prices!B46</f>
        <v>-2.6373690422415385E-3</v>
      </c>
      <c r="C45" s="3">
        <f>(Prices!D45-Prices!D46)/Prices!D46</f>
        <v>-3.8297099654994908E-3</v>
      </c>
      <c r="D45" s="3">
        <f>(Prices!F45-Prices!F46)/Prices!F46</f>
        <v>1.9829466587344857E-4</v>
      </c>
      <c r="E45" s="3">
        <f>(Prices!H45-Prices!H46)/Prices!H46</f>
        <v>2.7930522824474767E-3</v>
      </c>
      <c r="G45" s="4">
        <f>Inputs!$B$1*((Inputs!$B$6*Returns!B45)+(Inputs!$B$7*Returns!C45)+(Inputs!$B$8*Returns!D45)+(Inputs!$B$9*Returns!E45))</f>
        <v>-168.34962135583788</v>
      </c>
    </row>
    <row r="46" spans="1:7" x14ac:dyDescent="0.4">
      <c r="A46" s="6">
        <v>46071</v>
      </c>
      <c r="B46" s="3">
        <f>(Prices!B46-Prices!B47)/Prices!B47</f>
        <v>5.0377095994727115E-3</v>
      </c>
      <c r="C46" s="3">
        <f>(Prices!D46-Prices!D47)/Prices!D47</f>
        <v>7.4671544985864119E-3</v>
      </c>
      <c r="D46" s="3">
        <f>(Prices!F46-Prices!F47)/Prices!F47</f>
        <v>-1.3861386138613917E-3</v>
      </c>
      <c r="E46" s="3">
        <f>(Prices!H46-Prices!H47)/Prices!H47</f>
        <v>2.2489959839357396E-2</v>
      </c>
      <c r="G46" s="4">
        <f>Inputs!$B$1*((Inputs!$B$6*Returns!B46)+(Inputs!$B$7*Returns!C46)+(Inputs!$B$8*Returns!D46)+(Inputs!$B$9*Returns!E46))</f>
        <v>578.43337949060799</v>
      </c>
    </row>
    <row r="47" spans="1:7" x14ac:dyDescent="0.4">
      <c r="A47" s="6">
        <v>46070</v>
      </c>
      <c r="B47" s="3">
        <f>(Prices!B47-Prices!B48)/Prices!B48</f>
        <v>1.6134946828016469E-3</v>
      </c>
      <c r="C47" s="3">
        <f>(Prices!D47-Prices!D48)/Prices!D48</f>
        <v>-1.0300372142477482E-3</v>
      </c>
      <c r="D47" s="3">
        <f>(Prices!F47-Prices!F48)/Prices!F48</f>
        <v>9.9019704921330003E-5</v>
      </c>
      <c r="E47" s="3">
        <f>(Prices!H47-Prices!H48)/Prices!H48</f>
        <v>-3.1170290951536932E-2</v>
      </c>
      <c r="G47" s="4">
        <f>Inputs!$B$1*((Inputs!$B$6*Returns!B47)+(Inputs!$B$7*Returns!C47)+(Inputs!$B$8*Returns!D47)+(Inputs!$B$9*Returns!E47))</f>
        <v>-270.43855993646395</v>
      </c>
    </row>
    <row r="48" spans="1:7" x14ac:dyDescent="0.4">
      <c r="A48" s="6">
        <v>46066</v>
      </c>
      <c r="B48" s="3">
        <f>(Prices!B48-Prices!B49)/Prices!B49</f>
        <v>7.0456647144306688E-4</v>
      </c>
      <c r="C48" s="3">
        <f>(Prices!D48-Prices!D49)/Prices!D49</f>
        <v>2.131060202450674E-3</v>
      </c>
      <c r="D48" s="3">
        <f>(Prices!F48-Prices!F49)/Prices!F49</f>
        <v>3.1787026919637743E-3</v>
      </c>
      <c r="E48" s="3">
        <f>(Prices!H48-Prices!H49)/Prices!H49</f>
        <v>2.4878707990872679E-2</v>
      </c>
      <c r="G48" s="4">
        <f>Inputs!$B$1*((Inputs!$B$6*Returns!B48)+(Inputs!$B$7*Returns!C48)+(Inputs!$B$8*Returns!D48)+(Inputs!$B$9*Returns!E48))</f>
        <v>409.7138111268107</v>
      </c>
    </row>
    <row r="49" spans="1:7" x14ac:dyDescent="0.4">
      <c r="A49" s="6">
        <v>46065</v>
      </c>
      <c r="B49" s="3">
        <f>(Prices!B49-Prices!B50)/Prices!B50</f>
        <v>-1.5448869876871574E-2</v>
      </c>
      <c r="C49" s="3">
        <f>(Prices!D49-Prices!D50)/Prices!D50</f>
        <v>-2.0338927761739373E-2</v>
      </c>
      <c r="D49" s="3">
        <f>(Prices!F49-Prices!F50)/Prices!F50</f>
        <v>4.4901217321892126E-3</v>
      </c>
      <c r="E49" s="3">
        <f>(Prices!H49-Prices!H50)/Prices!H50</f>
        <v>-3.4728310844043389E-2</v>
      </c>
      <c r="G49" s="4">
        <f>Inputs!$B$1*((Inputs!$B$6*Returns!B49)+(Inputs!$B$7*Returns!C49)+(Inputs!$B$8*Returns!D49)+(Inputs!$B$9*Returns!E49))</f>
        <v>-1361.4580542540509</v>
      </c>
    </row>
    <row r="50" spans="1:7" x14ac:dyDescent="0.4">
      <c r="A50" s="6">
        <v>46064</v>
      </c>
      <c r="B50" s="3">
        <f>(Prices!B50-Prices!B51)/Prices!B51</f>
        <v>-2.3117378489274717E-4</v>
      </c>
      <c r="C50" s="3">
        <f>(Prices!D50-Prices!D51)/Prices!D51</f>
        <v>2.6820612622041741E-3</v>
      </c>
      <c r="D50" s="3">
        <f>(Prices!F50-Prices!F51)/Prices!F51</f>
        <v>-2.2896963663514582E-3</v>
      </c>
      <c r="E50" s="3">
        <f>(Prices!H50-Prices!H51)/Prices!H51</f>
        <v>1.1310553633218033E-2</v>
      </c>
      <c r="G50" s="4">
        <f>Inputs!$B$1*((Inputs!$B$6*Returns!B50)+(Inputs!$B$7*Returns!C50)+(Inputs!$B$8*Returns!D50)+(Inputs!$B$9*Returns!E50))</f>
        <v>113.66770733278835</v>
      </c>
    </row>
    <row r="51" spans="1:7" x14ac:dyDescent="0.4">
      <c r="A51" s="6">
        <v>46063</v>
      </c>
      <c r="B51" s="3">
        <f>(Prices!B51-Prices!B52)/Prices!B52</f>
        <v>-2.6370775992507253E-3</v>
      </c>
      <c r="C51" s="3">
        <f>(Prices!D51-Prices!D52)/Prices!D52</f>
        <v>-4.6392759473890197E-3</v>
      </c>
      <c r="D51" s="3">
        <f>(Prices!F51-Prices!F52)/Prices!F52</f>
        <v>2.8953674121406374E-3</v>
      </c>
      <c r="E51" s="3">
        <f>(Prices!H51-Prices!H52)/Prices!H52</f>
        <v>-9.9137100400402446E-3</v>
      </c>
      <c r="G51" s="4">
        <f>Inputs!$B$1*((Inputs!$B$6*Returns!B51)+(Inputs!$B$7*Returns!C51)+(Inputs!$B$8*Returns!D51)+(Inputs!$B$9*Returns!E51))</f>
        <v>-248.21791775164101</v>
      </c>
    </row>
    <row r="52" spans="1:7" x14ac:dyDescent="0.4">
      <c r="A52" s="6">
        <v>46062</v>
      </c>
      <c r="B52" s="3">
        <f>(Prices!B52-Prices!B53)/Prices!B53</f>
        <v>4.8217543656425251E-3</v>
      </c>
      <c r="C52" s="3">
        <f>(Prices!D52-Prices!D53)/Prices!D53</f>
        <v>7.6601328631183026E-3</v>
      </c>
      <c r="D52" s="3">
        <f>(Prices!F52-Prices!F53)/Prices!F53</f>
        <v>2.9961050634176708E-4</v>
      </c>
      <c r="E52" s="3">
        <f>(Prices!H52-Prices!H53)/Prices!H53</f>
        <v>2.5402889386554238E-2</v>
      </c>
      <c r="G52" s="4">
        <f>Inputs!$B$1*((Inputs!$B$6*Returns!B52)+(Inputs!$B$7*Returns!C52)+(Inputs!$B$8*Returns!D52)+(Inputs!$B$9*Returns!E52))</f>
        <v>645.89265272774514</v>
      </c>
    </row>
    <row r="53" spans="1:7" x14ac:dyDescent="0.4">
      <c r="A53" s="6">
        <v>46059</v>
      </c>
      <c r="B53" s="3">
        <f>(Prices!B53-Prices!B54)/Prices!B54</f>
        <v>1.9184793837253918E-2</v>
      </c>
      <c r="C53" s="3">
        <f>(Prices!D53-Prices!D54)/Prices!D54</f>
        <v>2.1137966266351782E-2</v>
      </c>
      <c r="D53" s="3">
        <f>(Prices!F53-Prices!F54)/Prices!F54</f>
        <v>5.9958029379436671E-4</v>
      </c>
      <c r="E53" s="3">
        <f>(Prices!H53-Prices!H54)/Prices!H54</f>
        <v>3.0732325518240209E-2</v>
      </c>
      <c r="G53" s="4">
        <f>Inputs!$B$1*((Inputs!$B$6*Returns!B53)+(Inputs!$B$7*Returns!C53)+(Inputs!$B$8*Returns!D53)+(Inputs!$B$9*Returns!E53))</f>
        <v>1618.1536726762126</v>
      </c>
    </row>
    <row r="54" spans="1:7" x14ac:dyDescent="0.4">
      <c r="A54" s="6">
        <v>46058</v>
      </c>
      <c r="B54" s="3">
        <f>(Prices!B54-Prices!B55)/Prices!B55</f>
        <v>-1.2489252247919745E-2</v>
      </c>
      <c r="C54" s="3">
        <f>(Prices!D54-Prices!D55)/Prices!D55</f>
        <v>-1.4395377631035952E-2</v>
      </c>
      <c r="D54" s="3">
        <f>(Prices!F54-Prices!F55)/Prices!F55</f>
        <v>4.3155359293455698E-3</v>
      </c>
      <c r="E54" s="3">
        <f>(Prices!H54-Prices!H55)/Prices!H55</f>
        <v>-2.6631715752142279E-2</v>
      </c>
      <c r="G54" s="4">
        <f>Inputs!$B$1*((Inputs!$B$6*Returns!B54)+(Inputs!$B$7*Returns!C54)+(Inputs!$B$8*Returns!D54)+(Inputs!$B$9*Returns!E54))</f>
        <v>-1017.8832899804722</v>
      </c>
    </row>
    <row r="55" spans="1:7" x14ac:dyDescent="0.4">
      <c r="A55" s="6">
        <v>46057</v>
      </c>
      <c r="B55" s="3">
        <f>(Prices!B55-Prices!B56)/Prices!B56</f>
        <v>-4.8438791640681598E-3</v>
      </c>
      <c r="C55" s="3">
        <f>(Prices!D55-Prices!D56)/Prices!D56</f>
        <v>-1.7469019658729615E-2</v>
      </c>
      <c r="D55" s="3">
        <f>(Prices!F55-Prices!F56)/Prices!F56</f>
        <v>-6.0180541624876903E-4</v>
      </c>
      <c r="E55" s="3">
        <f>(Prices!H55-Prices!H56)/Prices!H56</f>
        <v>-7.0439587047919428E-4</v>
      </c>
      <c r="G55" s="4">
        <f>Inputs!$B$1*((Inputs!$B$6*Returns!B55)+(Inputs!$B$7*Returns!C55)+(Inputs!$B$8*Returns!D55)+(Inputs!$B$9*Returns!E55))</f>
        <v>-652.56975214197792</v>
      </c>
    </row>
    <row r="56" spans="1:7" x14ac:dyDescent="0.4">
      <c r="A56" s="6">
        <v>46056</v>
      </c>
      <c r="B56" s="3">
        <f>(Prices!B56-Prices!B57)/Prices!B57</f>
        <v>-8.4554435512862857E-3</v>
      </c>
      <c r="C56" s="3">
        <f>(Prices!D56-Prices!D57)/Prices!D57</f>
        <v>-1.5363976107579782E-2</v>
      </c>
      <c r="D56" s="3">
        <f>(Prices!F56-Prices!F57)/Prices!F57</f>
        <v>1.0031096398841525E-4</v>
      </c>
      <c r="E56" s="3">
        <f>(Prices!H56-Prices!H57)/Prices!H57</f>
        <v>6.3587198276871273E-2</v>
      </c>
      <c r="G56" s="4">
        <f>Inputs!$B$1*((Inputs!$B$6*Returns!B56)+(Inputs!$B$7*Returns!C56)+(Inputs!$B$8*Returns!D56)+(Inputs!$B$9*Returns!E56))</f>
        <v>-83.937387872522805</v>
      </c>
    </row>
    <row r="57" spans="1:7" x14ac:dyDescent="0.4">
      <c r="A57" s="6">
        <v>46055</v>
      </c>
      <c r="B57" s="3">
        <f>(Prices!B57-Prices!B58)/Prices!B58</f>
        <v>4.9713137852796232E-3</v>
      </c>
      <c r="C57" s="3">
        <f>(Prices!D57-Prices!D58)/Prices!D58</f>
        <v>6.8663868654220044E-3</v>
      </c>
      <c r="D57" s="3">
        <f>(Prices!F57-Prices!F58)/Prices!F58</f>
        <v>-4.394287426345728E-3</v>
      </c>
      <c r="E57" s="3">
        <f>(Prices!H57-Prices!H58)/Prices!H58</f>
        <v>-4.0049443757725574E-2</v>
      </c>
      <c r="G57" s="4">
        <f>Inputs!$B$1*((Inputs!$B$6*Returns!B57)+(Inputs!$B$7*Returns!C57)+(Inputs!$B$8*Returns!D57)+(Inputs!$B$9*Returns!E57))</f>
        <v>-139.83940018916391</v>
      </c>
    </row>
    <row r="58" spans="1:7" x14ac:dyDescent="0.4">
      <c r="A58" s="6">
        <v>46052</v>
      </c>
      <c r="B58" s="3">
        <f>(Prices!B58-Prices!B59)/Prices!B59</f>
        <v>-2.9825370295659278E-3</v>
      </c>
      <c r="C58" s="3">
        <f>(Prices!D58-Prices!D59)/Prices!D59</f>
        <v>-1.201086697488195E-2</v>
      </c>
      <c r="D58" s="3">
        <f>(Prices!F58-Prices!F59)/Prices!F59</f>
        <v>-1.9970044932611313E-4</v>
      </c>
      <c r="E58" s="3">
        <f>(Prices!H58-Prices!H59)/Prices!H59</f>
        <v>-0.10274248840492033</v>
      </c>
      <c r="G58" s="4">
        <f>Inputs!$B$1*((Inputs!$B$6*Returns!B58)+(Inputs!$B$7*Returns!C58)+(Inputs!$B$8*Returns!D58)+(Inputs!$B$9*Returns!E58))</f>
        <v>-1451.9905508370421</v>
      </c>
    </row>
    <row r="59" spans="1:7" x14ac:dyDescent="0.4">
      <c r="A59" s="6">
        <v>46051</v>
      </c>
      <c r="B59" s="3">
        <f>(Prices!B59-Prices!B60)/Prices!B60</f>
        <v>-1.9844122976043189E-3</v>
      </c>
      <c r="C59" s="3">
        <f>(Prices!D59-Prices!D60)/Prices!D60</f>
        <v>-5.9852815767033217E-3</v>
      </c>
      <c r="D59" s="3">
        <f>(Prices!F59-Prices!F60)/Prices!F60</f>
        <v>0</v>
      </c>
      <c r="E59" s="3">
        <f>(Prices!H59-Prices!H60)/Prices!H60</f>
        <v>2.7094791329666267E-3</v>
      </c>
      <c r="G59" s="4">
        <f>Inputs!$B$1*((Inputs!$B$6*Returns!B59)+(Inputs!$B$7*Returns!C59)+(Inputs!$B$8*Returns!D59)+(Inputs!$B$9*Returns!E59))</f>
        <v>-201.91373999208952</v>
      </c>
    </row>
    <row r="60" spans="1:7" x14ac:dyDescent="0.4">
      <c r="A60" s="6">
        <v>46050</v>
      </c>
      <c r="B60" s="3">
        <f>(Prices!B60-Prices!B61)/Prices!B61</f>
        <v>-1.0064846367316572E-4</v>
      </c>
      <c r="C60" s="3">
        <f>(Prices!D60-Prices!D61)/Prices!D61</f>
        <v>3.3115206058974092E-3</v>
      </c>
      <c r="D60" s="3">
        <f>(Prices!F60-Prices!F61)/Prices!F61</f>
        <v>-3.9924144126152352E-4</v>
      </c>
      <c r="E60" s="3">
        <f>(Prices!H60-Prices!H61)/Prices!H61</f>
        <v>3.8773366939718501E-2</v>
      </c>
      <c r="G60" s="4">
        <f>Inputs!$B$1*((Inputs!$B$6*Returns!B60)+(Inputs!$B$7*Returns!C60)+(Inputs!$B$8*Returns!D60)+(Inputs!$B$9*Returns!E60))</f>
        <v>456.51470996615552</v>
      </c>
    </row>
    <row r="61" spans="1:7" x14ac:dyDescent="0.4">
      <c r="A61" s="6">
        <v>46049</v>
      </c>
      <c r="B61" s="3">
        <f>(Prices!B61-Prices!B62)/Prices!B62</f>
        <v>3.9842362825343071E-3</v>
      </c>
      <c r="C61" s="3">
        <f>(Prices!D61-Prices!D62)/Prices!D62</f>
        <v>9.0653279186518054E-3</v>
      </c>
      <c r="D61" s="3">
        <f>(Prices!F61-Prices!F62)/Prices!F62</f>
        <v>-6.9818471972877898E-4</v>
      </c>
      <c r="E61" s="3">
        <f>(Prices!H61-Prices!H62)/Prices!H62</f>
        <v>2.4531956100710208E-2</v>
      </c>
      <c r="G61" s="4">
        <f>Inputs!$B$1*((Inputs!$B$6*Returns!B61)+(Inputs!$B$7*Returns!C61)+(Inputs!$B$8*Returns!D61)+(Inputs!$B$9*Returns!E61))</f>
        <v>613.86759228155006</v>
      </c>
    </row>
    <row r="62" spans="1:7" x14ac:dyDescent="0.4">
      <c r="A62" s="6">
        <v>46048</v>
      </c>
      <c r="B62" s="3">
        <f>(Prices!B62-Prices!B63)/Prices!B63</f>
        <v>5.0781306675565484E-3</v>
      </c>
      <c r="C62" s="3">
        <f>(Prices!D62-Prices!D63)/Prices!D63</f>
        <v>4.4000513874614738E-3</v>
      </c>
      <c r="D62" s="3">
        <f>(Prices!F62-Prices!F63)/Prices!F63</f>
        <v>1.4983518130057506E-3</v>
      </c>
      <c r="E62" s="3">
        <f>(Prices!H62-Prices!H63)/Prices!H63</f>
        <v>1.4628820960698665E-2</v>
      </c>
      <c r="G62" s="4">
        <f>Inputs!$B$1*((Inputs!$B$6*Returns!B62)+(Inputs!$B$7*Returns!C62)+(Inputs!$B$8*Returns!D62)+(Inputs!$B$9*Returns!E62))</f>
        <v>496.87351632092924</v>
      </c>
    </row>
    <row r="63" spans="1:7" x14ac:dyDescent="0.4">
      <c r="A63" s="6">
        <v>46045</v>
      </c>
      <c r="B63" s="3">
        <f>(Prices!B63-Prices!B64)/Prices!B64</f>
        <v>3.6285523527533457E-4</v>
      </c>
      <c r="C63" s="3">
        <f>(Prices!D63-Prices!D64)/Prices!D64</f>
        <v>3.1574199368516599E-3</v>
      </c>
      <c r="D63" s="3">
        <f>(Prices!F63-Prices!F64)/Prices!F64</f>
        <v>8.9982003599283563E-4</v>
      </c>
      <c r="E63" s="3">
        <f>(Prices!H63-Prices!H64)/Prices!H64</f>
        <v>1.3745324155027732E-2</v>
      </c>
      <c r="G63" s="4">
        <f>Inputs!$B$1*((Inputs!$B$6*Returns!B63)+(Inputs!$B$7*Returns!C63)+(Inputs!$B$8*Returns!D63)+(Inputs!$B$9*Returns!E63))</f>
        <v>253.3984502824031</v>
      </c>
    </row>
    <row r="64" spans="1:7" x14ac:dyDescent="0.4">
      <c r="A64" s="6">
        <v>46044</v>
      </c>
      <c r="B64" s="3">
        <f>(Prices!B64-Prices!B65)/Prices!B65</f>
        <v>5.2232273125182973E-3</v>
      </c>
      <c r="C64" s="3">
        <f>(Prices!D64-Prices!D65)/Prices!D65</f>
        <v>7.2694229895502345E-3</v>
      </c>
      <c r="D64" s="3">
        <f>(Prices!F64-Prices!F65)/Prices!F65</f>
        <v>1.9999999999996022E-4</v>
      </c>
      <c r="E64" s="3">
        <f>(Prices!H64-Prices!H65)/Prices!H65</f>
        <v>1.8462578899909824E-2</v>
      </c>
      <c r="G64" s="4">
        <f>Inputs!$B$1*((Inputs!$B$6*Returns!B64)+(Inputs!$B$7*Returns!C64)+(Inputs!$B$8*Returns!D64)+(Inputs!$B$9*Returns!E64))</f>
        <v>580.29045623858497</v>
      </c>
    </row>
    <row r="65" spans="1:7" x14ac:dyDescent="0.4">
      <c r="A65" s="6">
        <v>46043</v>
      </c>
      <c r="B65" s="3">
        <f>(Prices!B65-Prices!B66)/Prices!B66</f>
        <v>1.154107264086888E-2</v>
      </c>
      <c r="C65" s="3">
        <f>(Prices!D65-Prices!D66)/Prices!D66</f>
        <v>1.351840278919848E-2</v>
      </c>
      <c r="D65" s="3">
        <f>(Prices!F65-Prices!F66)/Prices!F66</f>
        <v>3.3109260559847325E-3</v>
      </c>
      <c r="E65" s="3">
        <f>(Prices!H65-Prices!H66)/Prices!H66</f>
        <v>1.4568991148823283E-2</v>
      </c>
      <c r="G65" s="4">
        <f>Inputs!$B$1*((Inputs!$B$6*Returns!B65)+(Inputs!$B$7*Returns!C65)+(Inputs!$B$8*Returns!D65)+(Inputs!$B$9*Returns!E65))</f>
        <v>1028.0660382525684</v>
      </c>
    </row>
    <row r="66" spans="1:7" x14ac:dyDescent="0.4">
      <c r="A66" s="6">
        <v>46042</v>
      </c>
      <c r="B66" s="3">
        <f>(Prices!B66-Prices!B67)/Prices!B67</f>
        <v>-2.0356822716363427E-2</v>
      </c>
      <c r="C66" s="3">
        <f>(Prices!D66-Prices!D67)/Prices!D67</f>
        <v>-2.1247142903132416E-2</v>
      </c>
      <c r="D66" s="3">
        <f>(Prices!F66-Prices!F67)/Prices!F67</f>
        <v>-3.798100949525192E-3</v>
      </c>
      <c r="E66" s="3">
        <f>(Prices!H66-Prices!H67)/Prices!H67</f>
        <v>3.7836169859241847E-2</v>
      </c>
      <c r="G66" s="4">
        <f>Inputs!$B$1*((Inputs!$B$6*Returns!B66)+(Inputs!$B$7*Returns!C66)+(Inputs!$B$8*Returns!D66)+(Inputs!$B$9*Returns!E66))</f>
        <v>-1062.042306378559</v>
      </c>
    </row>
    <row r="67" spans="1:7" x14ac:dyDescent="0.4">
      <c r="A67" s="6">
        <v>46038</v>
      </c>
      <c r="B67" s="3">
        <f>(Prices!B67-Prices!B68)/Prices!B68</f>
        <v>-8.3785970183757215E-4</v>
      </c>
      <c r="C67" s="3">
        <f>(Prices!D67-Prices!D68)/Prices!D68</f>
        <v>-8.3630866222776841E-4</v>
      </c>
      <c r="D67" s="3">
        <f>(Prices!F67-Prices!F68)/Prices!F68</f>
        <v>-1.6962682099381531E-3</v>
      </c>
      <c r="E67" s="3">
        <f>(Prices!H67-Prices!H68)/Prices!H68</f>
        <v>-4.818935582169853E-3</v>
      </c>
      <c r="G67" s="4">
        <f>Inputs!$B$1*((Inputs!$B$6*Returns!B67)+(Inputs!$B$7*Returns!C67)+(Inputs!$B$8*Returns!D67)+(Inputs!$B$9*Returns!E67))</f>
        <v>-145.01816569934945</v>
      </c>
    </row>
    <row r="68" spans="1:7" x14ac:dyDescent="0.4">
      <c r="A68" s="6">
        <v>46037</v>
      </c>
      <c r="B68" s="3">
        <f>(Prices!B68-Prices!B69)/Prices!B69</f>
        <v>2.723216872356445E-3</v>
      </c>
      <c r="C68" s="3">
        <f>(Prices!D68-Prices!D69)/Prices!D69</f>
        <v>3.5993866516019989E-3</v>
      </c>
      <c r="D68" s="3">
        <f>(Prices!F68-Prices!F69)/Prices!F69</f>
        <v>-1.2954658694568557E-3</v>
      </c>
      <c r="E68" s="3">
        <f>(Prices!H68-Prices!H69)/Prices!H69</f>
        <v>-6.1276236089590408E-3</v>
      </c>
      <c r="G68" s="4">
        <f>Inputs!$B$1*((Inputs!$B$6*Returns!B68)+(Inputs!$B$7*Returns!C68)+(Inputs!$B$8*Returns!D68)+(Inputs!$B$9*Returns!E68))</f>
        <v>105.25045835829596</v>
      </c>
    </row>
    <row r="69" spans="1:7" x14ac:dyDescent="0.4">
      <c r="A69" s="6">
        <v>46036</v>
      </c>
      <c r="B69" s="3">
        <f>(Prices!B69-Prices!B70)/Prices!B70</f>
        <v>-4.9151736166164126E-3</v>
      </c>
      <c r="C69" s="3">
        <f>(Prices!D69-Prices!D70)/Prices!D70</f>
        <v>-1.0682805314256602E-2</v>
      </c>
      <c r="D69" s="3">
        <f>(Prices!F69-Prices!F70)/Prices!F70</f>
        <v>1.497005988023867E-3</v>
      </c>
      <c r="E69" s="3">
        <f>(Prices!H69-Prices!H70)/Prices!H70</f>
        <v>1.0222232763323298E-2</v>
      </c>
      <c r="G69" s="4">
        <f>Inputs!$B$1*((Inputs!$B$6*Returns!B69)+(Inputs!$B$7*Returns!C69)+(Inputs!$B$8*Returns!D69)+(Inputs!$B$9*Returns!E69))</f>
        <v>-324.02960018724184</v>
      </c>
    </row>
    <row r="70" spans="1:7" x14ac:dyDescent="0.4">
      <c r="A70" s="6">
        <v>46035</v>
      </c>
      <c r="B70" s="3">
        <f>(Prices!B70-Prices!B71)/Prices!B71</f>
        <v>-1.9995396743195614E-3</v>
      </c>
      <c r="C70" s="3">
        <f>(Prices!D70-Prices!D71)/Prices!D71</f>
        <v>-1.4828515394549326E-3</v>
      </c>
      <c r="D70" s="3">
        <f>(Prices!F70-Prices!F71)/Prices!F71</f>
        <v>8.9901108780345029E-4</v>
      </c>
      <c r="E70" s="3">
        <f>(Prices!H70-Prices!H71)/Prices!H71</f>
        <v>-1.4210264547758868E-3</v>
      </c>
      <c r="G70" s="4">
        <f>Inputs!$B$1*((Inputs!$B$6*Returns!B70)+(Inputs!$B$7*Returns!C70)+(Inputs!$B$8*Returns!D70)+(Inputs!$B$9*Returns!E70))</f>
        <v>-108.78786281182839</v>
      </c>
    </row>
    <row r="71" spans="1:7" x14ac:dyDescent="0.4">
      <c r="A71" s="6">
        <v>46034</v>
      </c>
      <c r="B71" s="3">
        <f>(Prices!B71-Prices!B72)/Prices!B72</f>
        <v>1.5704467849063034E-3</v>
      </c>
      <c r="C71" s="3">
        <f>(Prices!D71-Prices!D72)/Prices!D72</f>
        <v>8.2980930343889221E-4</v>
      </c>
      <c r="D71" s="3">
        <f>(Prices!F71-Prices!F72)/Prices!F72</f>
        <v>-4.9920127795524325E-4</v>
      </c>
      <c r="E71" s="3">
        <f>(Prices!H71-Prices!H72)/Prices!H72</f>
        <v>1.8722706106593941E-2</v>
      </c>
      <c r="G71" s="4">
        <f>Inputs!$B$1*((Inputs!$B$6*Returns!B71)+(Inputs!$B$7*Returns!C71)+(Inputs!$B$8*Returns!D71)+(Inputs!$B$9*Returns!E71))</f>
        <v>258.31013309928278</v>
      </c>
    </row>
    <row r="72" spans="1:7" x14ac:dyDescent="0.4">
      <c r="A72" s="6">
        <v>46031</v>
      </c>
      <c r="B72" s="3">
        <f>(Prices!B72-Prices!B73)/Prices!B73</f>
        <v>6.6133921190411442E-3</v>
      </c>
      <c r="C72" s="3">
        <f>(Prices!D72-Prices!D73)/Prices!D73</f>
        <v>9.9601914677582316E-3</v>
      </c>
      <c r="D72" s="3">
        <f>(Prices!F72-Prices!F73)/Prices!F73</f>
        <v>2.2013207924754738E-3</v>
      </c>
      <c r="E72" s="3">
        <f>(Prices!H72-Prices!H73)/Prices!H73</f>
        <v>7.2419742885611272E-3</v>
      </c>
      <c r="G72" s="4">
        <f>Inputs!$B$1*((Inputs!$B$6*Returns!B72)+(Inputs!$B$7*Returns!C72)+(Inputs!$B$8*Returns!D72)+(Inputs!$B$9*Returns!E72))</f>
        <v>640.99323415309959</v>
      </c>
    </row>
    <row r="73" spans="1:7" x14ac:dyDescent="0.4">
      <c r="A73" s="6">
        <v>46030</v>
      </c>
      <c r="B73" s="3">
        <f>(Prices!B73-Prices!B74)/Prices!B74</f>
        <v>-1.0151106470612549E-4</v>
      </c>
      <c r="C73" s="3">
        <f>(Prices!D73-Prices!D74)/Prices!D74</f>
        <v>-5.6889202269157311E-3</v>
      </c>
      <c r="D73" s="3">
        <f>(Prices!F73-Prices!F74)/Prices!F74</f>
        <v>-1.7978425888933961E-3</v>
      </c>
      <c r="E73" s="3">
        <f>(Prices!H73-Prices!H74)/Prices!H74</f>
        <v>5.5225667717420301E-3</v>
      </c>
      <c r="G73" s="4">
        <f>Inputs!$B$1*((Inputs!$B$6*Returns!B73)+(Inputs!$B$7*Returns!C73)+(Inputs!$B$8*Returns!D73)+(Inputs!$B$9*Returns!E73))</f>
        <v>-136.00384526605288</v>
      </c>
    </row>
    <row r="74" spans="1:7" x14ac:dyDescent="0.4">
      <c r="A74" s="6">
        <v>46029</v>
      </c>
      <c r="B74" s="3">
        <f>(Prices!B74-Prices!B75)/Prices!B75</f>
        <v>-3.2234283979704031E-3</v>
      </c>
      <c r="C74" s="3">
        <f>(Prices!D74-Prices!D75)/Prices!D75</f>
        <v>9.6243303070165027E-4</v>
      </c>
      <c r="D74" s="3">
        <f>(Prices!F74-Prices!F75)/Prices!F75</f>
        <v>9.9980003999208681E-4</v>
      </c>
      <c r="E74" s="3">
        <f>(Prices!H74-Prices!H75)/Prices!H75</f>
        <v>-9.5599980637978334E-3</v>
      </c>
      <c r="G74" s="4">
        <f>Inputs!$B$1*((Inputs!$B$6*Returns!B74)+(Inputs!$B$7*Returns!C74)+(Inputs!$B$8*Returns!D74)+(Inputs!$B$9*Returns!E74))</f>
        <v>-175.48128978945107</v>
      </c>
    </row>
    <row r="75" spans="1:7" x14ac:dyDescent="0.4">
      <c r="A75" s="6">
        <v>46028</v>
      </c>
      <c r="B75" s="3">
        <f>(Prices!B75-Prices!B76)/Prices!B76</f>
        <v>5.9471878089919121E-3</v>
      </c>
      <c r="C75" s="3">
        <f>(Prices!D75-Prices!D76)/Prices!D76</f>
        <v>8.7865499441737733E-3</v>
      </c>
      <c r="D75" s="3">
        <f>(Prices!F75-Prices!F76)/Prices!F76</f>
        <v>-1.9992003198730739E-4</v>
      </c>
      <c r="E75" s="3">
        <f>(Prices!H75-Prices!H76)/Prices!H76</f>
        <v>1.0813191114590509E-2</v>
      </c>
      <c r="G75" s="4">
        <f>Inputs!$B$1*((Inputs!$B$6*Returns!B75)+(Inputs!$B$7*Returns!C75)+(Inputs!$B$8*Returns!D75)+(Inputs!$B$9*Returns!E75))</f>
        <v>560.68517131024328</v>
      </c>
    </row>
    <row r="76" spans="1:7" x14ac:dyDescent="0.4">
      <c r="A76" s="6">
        <v>46027</v>
      </c>
      <c r="B76" s="3">
        <f>(Prices!B76-Prices!B77)/Prices!B77</f>
        <v>6.6601285185240401E-3</v>
      </c>
      <c r="C76" s="3">
        <f>(Prices!D76-Prices!D77)/Prices!D77</f>
        <v>7.9429801670146214E-3</v>
      </c>
      <c r="D76" s="3">
        <f>(Prices!F76-Prices!F77)/Prices!F77</f>
        <v>1.902854281422253E-3</v>
      </c>
      <c r="E76" s="3">
        <f>(Prices!H76-Prices!H77)/Prices!H77</f>
        <v>2.6313146530079389E-2</v>
      </c>
      <c r="G76" s="4">
        <f>Inputs!$B$1*((Inputs!$B$6*Returns!B76)+(Inputs!$B$7*Returns!C76)+(Inputs!$B$8*Returns!D76)+(Inputs!$B$9*Returns!E76))</f>
        <v>775.6824672526775</v>
      </c>
    </row>
    <row r="77" spans="1:7" x14ac:dyDescent="0.4">
      <c r="A77" s="6">
        <v>46024</v>
      </c>
      <c r="B77" s="3">
        <f>(Prices!B77-Prices!B78)/Prices!B78</f>
        <v>1.8330595964335993E-3</v>
      </c>
      <c r="C77" s="3">
        <f>(Prices!D77-Prices!D78)/Prices!D78</f>
        <v>-1.9371327180087267E-3</v>
      </c>
      <c r="D77" s="3">
        <f>(Prices!F77-Prices!F78)/Prices!F78</f>
        <v>-3.0036043251903421E-4</v>
      </c>
      <c r="E77" s="3">
        <f>(Prices!H77-Prices!H78)/Prices!H78</f>
        <v>4.9708561479649025E-3</v>
      </c>
      <c r="G77" s="4">
        <f>Inputs!$B$1*((Inputs!$B$6*Returns!B77)+(Inputs!$B$7*Returns!C77)+(Inputs!$B$8*Returns!D77)+(Inputs!$B$9*Returns!E77))</f>
        <v>67.093616573798982</v>
      </c>
    </row>
    <row r="78" spans="1:7" x14ac:dyDescent="0.4">
      <c r="A78" s="6">
        <v>46022</v>
      </c>
      <c r="B78" s="3">
        <f>(Prices!B78-Prices!B79)/Prices!B79</f>
        <v>-7.4089169007729612E-3</v>
      </c>
      <c r="C78" s="3">
        <f>(Prices!D78-Prices!D79)/Prices!D79</f>
        <v>-8.2656635939492833E-3</v>
      </c>
      <c r="D78" s="3">
        <f>(Prices!F78-Prices!F79)/Prices!F79</f>
        <v>-2.3971234518578616E-3</v>
      </c>
      <c r="E78" s="3">
        <f>(Prices!H78-Prices!H79)/Prices!H79</f>
        <v>-6.4679485572463188E-3</v>
      </c>
      <c r="G78" s="4">
        <f>Inputs!$B$1*((Inputs!$B$6*Returns!B78)+(Inputs!$B$7*Returns!C78)+(Inputs!$B$8*Returns!D78)+(Inputs!$B$9*Returns!E78))</f>
        <v>-627.60583774856025</v>
      </c>
    </row>
    <row r="79" spans="1:7" x14ac:dyDescent="0.4">
      <c r="A79" s="6">
        <v>46021</v>
      </c>
      <c r="B79" s="3">
        <f>(Prices!B79-Prices!B80)/Prices!B80</f>
        <v>-1.2211964817911345E-3</v>
      </c>
      <c r="C79" s="3">
        <f>(Prices!D79-Prices!D80)/Prices!D80</f>
        <v>-2.3193261069145788E-3</v>
      </c>
      <c r="D79" s="3">
        <f>(Prices!F79-Prices!F80)/Prices!F80</f>
        <v>-3.9936102236413782E-4</v>
      </c>
      <c r="E79" s="3">
        <f>(Prices!H79-Prices!H80)/Prices!H80</f>
        <v>7.2754641244346114E-4</v>
      </c>
      <c r="G79" s="4">
        <f>Inputs!$B$1*((Inputs!$B$6*Returns!B79)+(Inputs!$B$7*Returns!C79)+(Inputs!$B$8*Returns!D79)+(Inputs!$B$9*Returns!E79))</f>
        <v>-109.53957337917868</v>
      </c>
    </row>
    <row r="80" spans="1:7" x14ac:dyDescent="0.4">
      <c r="A80" s="6">
        <v>46020</v>
      </c>
      <c r="B80" s="3">
        <f>(Prices!B80-Prices!B81)/Prices!B81</f>
        <v>-3.563616346279096E-3</v>
      </c>
      <c r="C80" s="3">
        <f>(Prices!D80-Prices!D81)/Prices!D81</f>
        <v>-4.8405969000945388E-3</v>
      </c>
      <c r="D80" s="3">
        <f>(Prices!F80-Prices!F81)/Prices!F81</f>
        <v>1.199520191923134E-3</v>
      </c>
      <c r="E80" s="3">
        <f>(Prices!H80-Prices!H81)/Prices!H81</f>
        <v>-4.3528339012333793E-2</v>
      </c>
      <c r="G80" s="4">
        <f>Inputs!$B$1*((Inputs!$B$6*Returns!B80)+(Inputs!$B$7*Returns!C80)+(Inputs!$B$8*Returns!D80)+(Inputs!$B$9*Returns!E80))</f>
        <v>-668.85496167878694</v>
      </c>
    </row>
    <row r="81" spans="1:7" x14ac:dyDescent="0.4">
      <c r="A81" s="6">
        <v>46017</v>
      </c>
      <c r="B81" s="3">
        <f>(Prices!B81-Prices!B82)/Prices!B82</f>
        <v>-1.013934354993627E-4</v>
      </c>
      <c r="C81" s="3">
        <f>(Prices!D81-Prices!D82)/Prices!D82</f>
        <v>-6.4109755902046095E-5</v>
      </c>
      <c r="D81" s="3">
        <f>(Prices!F81-Prices!F82)/Prices!F82</f>
        <v>1.9996000799850263E-4</v>
      </c>
      <c r="E81" s="3">
        <f>(Prices!H81-Prices!H82)/Prices!H82</f>
        <v>1.1676741193892172E-2</v>
      </c>
      <c r="G81" s="4">
        <f>Inputs!$B$1*((Inputs!$B$6*Returns!B81)+(Inputs!$B$7*Returns!C81)+(Inputs!$B$8*Returns!D81)+(Inputs!$B$9*Returns!E81))</f>
        <v>116.10793082135864</v>
      </c>
    </row>
    <row r="82" spans="1:7" x14ac:dyDescent="0.4">
      <c r="A82" s="6">
        <v>46015</v>
      </c>
      <c r="B82" s="3">
        <f>(Prices!B82-Prices!B83)/Prices!B83</f>
        <v>3.5176463747891721E-3</v>
      </c>
      <c r="C82" s="3">
        <f>(Prices!D82-Prices!D83)/Prices!D83</f>
        <v>2.9255276398063627E-3</v>
      </c>
      <c r="D82" s="3">
        <f>(Prices!F82-Prices!F83)/Prices!F83</f>
        <v>2.2044088176352591E-3</v>
      </c>
      <c r="E82" s="3">
        <f>(Prices!H82-Prices!H83)/Prices!H83</f>
        <v>-4.1340295909486017E-3</v>
      </c>
      <c r="G82" s="4">
        <f>Inputs!$B$1*((Inputs!$B$6*Returns!B82)+(Inputs!$B$7*Returns!C82)+(Inputs!$B$8*Returns!D82)+(Inputs!$B$9*Returns!E82))</f>
        <v>227.61397051812142</v>
      </c>
    </row>
    <row r="83" spans="1:7" x14ac:dyDescent="0.4">
      <c r="A83" s="6">
        <v>46014</v>
      </c>
      <c r="B83" s="3">
        <f>(Prices!B83-Prices!B84)/Prices!B84</f>
        <v>4.5704773447424836E-3</v>
      </c>
      <c r="C83" s="3">
        <f>(Prices!D83-Prices!D84)/Prices!D84</f>
        <v>4.6833868962064193E-3</v>
      </c>
      <c r="D83" s="3">
        <f>(Prices!F83-Prices!F84)/Prices!F84</f>
        <v>0</v>
      </c>
      <c r="E83" s="3">
        <f>(Prices!H83-Prices!H84)/Prices!H84</f>
        <v>1.3252333243514608E-2</v>
      </c>
      <c r="G83" s="4">
        <f>Inputs!$B$1*((Inputs!$B$6*Returns!B83)+(Inputs!$B$7*Returns!C83)+(Inputs!$B$8*Returns!D83)+(Inputs!$B$9*Returns!E83))</f>
        <v>432.4270986300059</v>
      </c>
    </row>
    <row r="84" spans="1:7" x14ac:dyDescent="0.4">
      <c r="A84" s="6">
        <v>46013</v>
      </c>
      <c r="B84" s="3">
        <f>(Prices!B84-Prices!B85)/Prices!B85</f>
        <v>6.229888772976401E-3</v>
      </c>
      <c r="C84" s="3">
        <f>(Prices!D84-Prices!D85)/Prices!D85</f>
        <v>3.5005266996192886E-3</v>
      </c>
      <c r="D84" s="3">
        <f>(Prices!F84-Prices!F85)/Prices!F85</f>
        <v>-4.0064102564108824E-4</v>
      </c>
      <c r="E84" s="3">
        <f>(Prices!H84-Prices!H85)/Prices!H85</f>
        <v>2.3081549797002748E-2</v>
      </c>
      <c r="G84" s="4">
        <f>Inputs!$B$1*((Inputs!$B$6*Returns!B84)+(Inputs!$B$7*Returns!C84)+(Inputs!$B$8*Returns!D84)+(Inputs!$B$9*Returns!E84))</f>
        <v>557.50819073853859</v>
      </c>
    </row>
    <row r="85" spans="1:7" x14ac:dyDescent="0.4">
      <c r="A85" s="6">
        <v>46010</v>
      </c>
      <c r="B85" s="3">
        <f>(Prices!B85-Prices!B86)/Prices!B86</f>
        <v>6.0904400786435534E-3</v>
      </c>
      <c r="C85" s="3">
        <f>(Prices!D85-Prices!D86)/Prices!D86</f>
        <v>1.3035412322897245E-2</v>
      </c>
      <c r="D85" s="3">
        <f>(Prices!F85-Prices!F86)/Prices!F86</f>
        <v>-4.7846889952152093E-3</v>
      </c>
      <c r="E85" s="3">
        <f>(Prices!H85-Prices!H86)/Prices!H86</f>
        <v>1.1290363047895943E-3</v>
      </c>
      <c r="G85" s="4">
        <f>Inputs!$B$1*((Inputs!$B$6*Returns!B85)+(Inputs!$B$7*Returns!C85)+(Inputs!$B$8*Returns!D85)+(Inputs!$B$9*Returns!E85))</f>
        <v>461.176049385689</v>
      </c>
    </row>
    <row r="86" spans="1:7" x14ac:dyDescent="0.4">
      <c r="A86" s="6">
        <v>46009</v>
      </c>
      <c r="B86" s="3">
        <f>(Prices!B86-Prices!B87)/Prices!B87</f>
        <v>7.5513851653262586E-3</v>
      </c>
      <c r="C86" s="3">
        <f>(Prices!D86-Prices!D87)/Prices!D87</f>
        <v>1.4490098432737707E-2</v>
      </c>
      <c r="D86" s="3">
        <f>(Prices!F86-Prices!F87)/Prices!F87</f>
        <v>2.4982512241430999E-3</v>
      </c>
      <c r="E86" s="3">
        <f>(Prices!H86-Prices!H87)/Prices!H87</f>
        <v>-1.8032006812092145E-3</v>
      </c>
      <c r="G86" s="4">
        <f>Inputs!$B$1*((Inputs!$B$6*Returns!B86)+(Inputs!$B$7*Returns!C86)+(Inputs!$B$8*Returns!D86)+(Inputs!$B$9*Returns!E86))</f>
        <v>708.73214122297838</v>
      </c>
    </row>
    <row r="87" spans="1:7" x14ac:dyDescent="0.4">
      <c r="A87" s="6">
        <v>46008</v>
      </c>
      <c r="B87" s="3">
        <f>(Prices!B87-Prices!B88)/Prices!B88</f>
        <v>-1.1003579477661448E-2</v>
      </c>
      <c r="C87" s="3">
        <f>(Prices!D87-Prices!D88)/Prices!D88</f>
        <v>-1.8536984062116929E-2</v>
      </c>
      <c r="D87" s="3">
        <f>(Prices!F87-Prices!F88)/Prices!F88</f>
        <v>-2.9970029970031108E-4</v>
      </c>
      <c r="E87" s="3">
        <f>(Prices!H87-Prices!H88)/Prices!H88</f>
        <v>8.5882442092501312E-3</v>
      </c>
      <c r="G87" s="4">
        <f>Inputs!$B$1*((Inputs!$B$6*Returns!B87)+(Inputs!$B$7*Returns!C87)+(Inputs!$B$8*Returns!D87)+(Inputs!$B$9*Returns!E87))</f>
        <v>-825.17784605938766</v>
      </c>
    </row>
    <row r="88" spans="1:7" x14ac:dyDescent="0.4">
      <c r="A88" s="6">
        <v>46007</v>
      </c>
      <c r="B88" s="3">
        <f>(Prices!B88-Prices!B89)/Prices!B89</f>
        <v>-2.7323608479132896E-3</v>
      </c>
      <c r="C88" s="3">
        <f>(Prices!D88-Prices!D89)/Prices!D89</f>
        <v>1.9818521309005739E-3</v>
      </c>
      <c r="D88" s="3">
        <f>(Prices!F88-Prices!F89)/Prices!F89</f>
        <v>1.901711540386325E-3</v>
      </c>
      <c r="E88" s="3">
        <f>(Prices!H88-Prices!H89)/Prices!H89</f>
        <v>2.2738756947947192E-4</v>
      </c>
      <c r="G88" s="4">
        <f>Inputs!$B$1*((Inputs!$B$6*Returns!B88)+(Inputs!$B$7*Returns!C88)+(Inputs!$B$8*Returns!D88)+(Inputs!$B$9*Returns!E88))</f>
        <v>-9.9314664395643906</v>
      </c>
    </row>
    <row r="89" spans="1:7" x14ac:dyDescent="0.4">
      <c r="A89" s="6">
        <v>46006</v>
      </c>
      <c r="B89" s="3">
        <f>(Prices!B89-Prices!B90)/Prices!B90</f>
        <v>-1.5107955878901267E-3</v>
      </c>
      <c r="C89" s="3">
        <f>(Prices!D89-Prices!D90)/Prices!D90</f>
        <v>-5.0193931097422522E-3</v>
      </c>
      <c r="D89" s="3">
        <f>(Prices!F89-Prices!F90)/Prices!F90</f>
        <v>1.0019036168719998E-3</v>
      </c>
      <c r="E89" s="3">
        <f>(Prices!H89-Prices!H90)/Prices!H90</f>
        <v>9.1037831276556149E-4</v>
      </c>
      <c r="G89" s="4">
        <f>Inputs!$B$1*((Inputs!$B$6*Returns!B89)+(Inputs!$B$7*Returns!C89)+(Inputs!$B$8*Returns!D89)+(Inputs!$B$9*Returns!E89))</f>
        <v>-151.76527770970577</v>
      </c>
    </row>
    <row r="90" spans="1:7" x14ac:dyDescent="0.4">
      <c r="A90" s="6">
        <v>46003</v>
      </c>
      <c r="B90" s="3">
        <f>(Prices!B90-Prices!B91)/Prices!B91</f>
        <v>-1.0752064077078179E-2</v>
      </c>
      <c r="C90" s="3">
        <f>(Prices!D90-Prices!D91)/Prices!D91</f>
        <v>-1.9118258256338175E-2</v>
      </c>
      <c r="D90" s="3">
        <f>(Prices!F90-Prices!F91)/Prices!F91</f>
        <v>-3.0962844586496429E-3</v>
      </c>
      <c r="E90" s="3">
        <f>(Prices!H90-Prices!H91)/Prices!H91</f>
        <v>5.5945478588139272E-3</v>
      </c>
      <c r="G90" s="4">
        <f>Inputs!$B$1*((Inputs!$B$6*Returns!B90)+(Inputs!$B$7*Returns!C90)+(Inputs!$B$8*Returns!D90)+(Inputs!$B$9*Returns!E90))</f>
        <v>-929.50065236968362</v>
      </c>
    </row>
    <row r="91" spans="1:7" x14ac:dyDescent="0.4">
      <c r="A91" s="6">
        <v>46002</v>
      </c>
      <c r="B91" s="3">
        <f>(Prices!B91-Prices!B92)/Prices!B92</f>
        <v>2.3270357927191545E-3</v>
      </c>
      <c r="C91" s="3">
        <f>(Prices!D91-Prices!D92)/Prices!D92</f>
        <v>-3.2344927582415397E-3</v>
      </c>
      <c r="D91" s="3">
        <f>(Prices!F91-Prices!F92)/Prices!F92</f>
        <v>1.9980019980030204E-4</v>
      </c>
      <c r="E91" s="3">
        <f>(Prices!H91-Prices!H92)/Prices!H92</f>
        <v>1.0769823930086101E-2</v>
      </c>
      <c r="G91" s="4">
        <f>Inputs!$B$1*((Inputs!$B$6*Returns!B91)+(Inputs!$B$7*Returns!C91)+(Inputs!$B$8*Returns!D91)+(Inputs!$B$9*Returns!E91))</f>
        <v>124.91235704859628</v>
      </c>
    </row>
    <row r="92" spans="1:7" x14ac:dyDescent="0.4">
      <c r="A92" s="6">
        <v>46001</v>
      </c>
      <c r="B92" s="3">
        <f>(Prices!B92-Prices!B93)/Prices!B93</f>
        <v>6.6321152494730716E-3</v>
      </c>
      <c r="C92" s="3">
        <f>(Prices!D92-Prices!D93)/Prices!D93</f>
        <v>4.095672346212398E-3</v>
      </c>
      <c r="D92" s="3">
        <f>(Prices!F92-Prices!F93)/Prices!F93</f>
        <v>3.2070555221486588E-3</v>
      </c>
      <c r="E92" s="3">
        <f>(Prices!H92-Prices!H93)/Prices!H93</f>
        <v>4.2591636551368977E-3</v>
      </c>
      <c r="G92" s="4">
        <f>Inputs!$B$1*((Inputs!$B$6*Returns!B92)+(Inputs!$B$7*Returns!C92)+(Inputs!$B$8*Returns!D92)+(Inputs!$B$9*Returns!E92))</f>
        <v>490.44444323931828</v>
      </c>
    </row>
    <row r="93" spans="1:7" x14ac:dyDescent="0.4">
      <c r="A93" s="6">
        <v>46000</v>
      </c>
      <c r="B93" s="3">
        <f>(Prices!B93-Prices!B94)/Prices!B94</f>
        <v>-8.6303994851020562E-4</v>
      </c>
      <c r="C93" s="3">
        <f>(Prices!D93-Prices!D94)/Prices!D94</f>
        <v>1.2334209008777821E-3</v>
      </c>
      <c r="D93" s="3">
        <f>(Prices!F93-Prices!F94)/Prices!F94</f>
        <v>-9.0117152297990795E-4</v>
      </c>
      <c r="E93" s="3">
        <f>(Prices!H93-Prices!H94)/Prices!H94</f>
        <v>5.1372528670021308E-3</v>
      </c>
      <c r="G93" s="4">
        <f>Inputs!$B$1*((Inputs!$B$6*Returns!B93)+(Inputs!$B$7*Returns!C93)+(Inputs!$B$8*Returns!D93)+(Inputs!$B$9*Returns!E93))</f>
        <v>25.157165177059937</v>
      </c>
    </row>
    <row r="94" spans="1:7" x14ac:dyDescent="0.4">
      <c r="A94" s="6">
        <v>45999</v>
      </c>
      <c r="B94" s="3">
        <f>(Prices!B94-Prices!B95)/Prices!B95</f>
        <v>-3.0042730680045777E-3</v>
      </c>
      <c r="C94" s="3">
        <f>(Prices!D94-Prices!D95)/Prices!D95</f>
        <v>-1.9185265715930893E-3</v>
      </c>
      <c r="D94" s="3">
        <f>(Prices!F94-Prices!F95)/Prices!F95</f>
        <v>-1.5995201439567789E-3</v>
      </c>
      <c r="E94" s="3">
        <f>(Prices!H94-Prices!H95)/Prices!H95</f>
        <v>-2.6394783148741894E-3</v>
      </c>
      <c r="G94" s="4">
        <f>Inputs!$B$1*((Inputs!$B$6*Returns!B94)+(Inputs!$B$7*Returns!C94)+(Inputs!$B$8*Returns!D94)+(Inputs!$B$9*Returns!E94))</f>
        <v>-234.5168737576717</v>
      </c>
    </row>
    <row r="95" spans="1:7" x14ac:dyDescent="0.4">
      <c r="A95" s="6">
        <v>45996</v>
      </c>
      <c r="B95" s="3">
        <f>(Prices!B95-Prices!B96)/Prices!B96</f>
        <v>1.8995017460805509E-3</v>
      </c>
      <c r="C95" s="3">
        <f>(Prices!D95-Prices!D96)/Prices!D96</f>
        <v>4.0774392397341054E-3</v>
      </c>
      <c r="D95" s="3">
        <f>(Prices!F95-Prices!F96)/Prices!F96</f>
        <v>-1.0984621529858143E-3</v>
      </c>
      <c r="E95" s="3">
        <f>(Prices!H95-Prices!H96)/Prices!H96</f>
        <v>-1.7823470152145216E-3</v>
      </c>
      <c r="G95" s="4">
        <f>Inputs!$B$1*((Inputs!$B$6*Returns!B95)+(Inputs!$B$7*Returns!C95)+(Inputs!$B$8*Returns!D95)+(Inputs!$B$9*Returns!E95))</f>
        <v>132.63102685978407</v>
      </c>
    </row>
    <row r="96" spans="1:7" x14ac:dyDescent="0.4">
      <c r="A96" s="6">
        <v>45995</v>
      </c>
      <c r="B96" s="3">
        <f>(Prices!B96-Prices!B97)/Prices!B97</f>
        <v>7.311117284943485E-4</v>
      </c>
      <c r="C96" s="3">
        <f>(Prices!D96-Prices!D97)/Prices!D97</f>
        <v>-9.3020272004094059E-4</v>
      </c>
      <c r="D96" s="3">
        <f>(Prices!F96-Prices!F97)/Prices!F97</f>
        <v>-2.3909145248056872E-3</v>
      </c>
      <c r="E96" s="3">
        <f>(Prices!H96-Prices!H97)/Prices!H97</f>
        <v>6.4619520264681558E-4</v>
      </c>
      <c r="G96" s="4">
        <f>Inputs!$B$1*((Inputs!$B$6*Returns!B96)+(Inputs!$B$7*Returns!C96)+(Inputs!$B$8*Returns!D96)+(Inputs!$B$9*Returns!E96))</f>
        <v>-47.321509954923599</v>
      </c>
    </row>
    <row r="97" spans="1:7" x14ac:dyDescent="0.4">
      <c r="A97" s="6">
        <v>45994</v>
      </c>
      <c r="B97" s="3">
        <f>(Prices!B97-Prices!B98)/Prices!B98</f>
        <v>3.4627969421742459E-3</v>
      </c>
      <c r="C97" s="3">
        <f>(Prices!D97-Prices!D98)/Prices!D98</f>
        <v>2.4437299035369483E-3</v>
      </c>
      <c r="D97" s="3">
        <f>(Prices!F97-Prices!F98)/Prices!F98</f>
        <v>1.8963968459925914E-3</v>
      </c>
      <c r="E97" s="3">
        <f>(Prices!H97-Prices!H98)/Prices!H98</f>
        <v>-9.2965602726994537E-4</v>
      </c>
      <c r="G97" s="4">
        <f>Inputs!$B$1*((Inputs!$B$6*Returns!B97)+(Inputs!$B$7*Returns!C97)+(Inputs!$B$8*Returns!D97)+(Inputs!$B$9*Returns!E97))</f>
        <v>237.71848615250889</v>
      </c>
    </row>
    <row r="98" spans="1:7" x14ac:dyDescent="0.4">
      <c r="A98" s="6">
        <v>45993</v>
      </c>
      <c r="B98" s="3">
        <f>(Prices!B98-Prices!B99)/Prices!B99</f>
        <v>1.8522057418377863E-3</v>
      </c>
      <c r="C98" s="3">
        <f>(Prices!D98-Prices!D99)/Prices!D99</f>
        <v>7.8260446878494431E-3</v>
      </c>
      <c r="D98" s="3">
        <f>(Prices!F98-Prices!F99)/Prices!F99</f>
        <v>1.2992204677193229E-3</v>
      </c>
      <c r="E98" s="3">
        <f>(Prices!H98-Prices!H99)/Prices!H99</f>
        <v>-6.4400256574727154E-3</v>
      </c>
      <c r="G98" s="4">
        <f>Inputs!$B$1*((Inputs!$B$6*Returns!B98)+(Inputs!$B$7*Returns!C98)+(Inputs!$B$8*Returns!D98)+(Inputs!$B$9*Returns!E98))</f>
        <v>237.81960198800343</v>
      </c>
    </row>
    <row r="99" spans="1:7" x14ac:dyDescent="0.4">
      <c r="A99" s="6">
        <v>45992</v>
      </c>
      <c r="B99" s="3">
        <f>(Prices!B99-Prices!B100)/Prices!B100</f>
        <v>-4.5654750581659151E-3</v>
      </c>
      <c r="C99" s="3">
        <f>(Prices!D99-Prices!D100)/Prices!D100</f>
        <v>-3.3589018974566668E-3</v>
      </c>
      <c r="D99" s="3">
        <f>(Prices!F99-Prices!F100)/Prices!F100</f>
        <v>-7.5381868676848932E-3</v>
      </c>
      <c r="E99" s="3">
        <f>(Prices!H99-Prices!H100)/Prices!H100</f>
        <v>4.8210786841291235E-3</v>
      </c>
      <c r="G99" s="4">
        <f>Inputs!$B$1*((Inputs!$B$6*Returns!B99)+(Inputs!$B$7*Returns!C99)+(Inputs!$B$8*Returns!D99)+(Inputs!$B$9*Returns!E99))</f>
        <v>-406.83543461388439</v>
      </c>
    </row>
    <row r="100" spans="1:7" x14ac:dyDescent="0.4">
      <c r="A100" s="6">
        <v>45989</v>
      </c>
      <c r="B100" s="3">
        <f>(Prices!B100-Prices!B101)/Prices!B101</f>
        <v>5.4584510357815978E-3</v>
      </c>
      <c r="C100" s="3">
        <f>(Prices!D100-Prices!D101)/Prices!D101</f>
        <v>8.1071841372686582E-3</v>
      </c>
      <c r="D100" s="3">
        <f>(Prices!F100-Prices!F101)/Prices!F101</f>
        <v>-1.3866877971473908E-3</v>
      </c>
      <c r="E100" s="3">
        <f>(Prices!H100-Prices!H101)/Prices!H101</f>
        <v>1.2424305700563769E-2</v>
      </c>
      <c r="G100" s="4">
        <f>Inputs!$B$1*((Inputs!$B$6*Returns!B100)+(Inputs!$B$7*Returns!C100)+(Inputs!$B$8*Returns!D100)+(Inputs!$B$9*Returns!E100))</f>
        <v>510.59350693993332</v>
      </c>
    </row>
    <row r="101" spans="1:7" x14ac:dyDescent="0.4">
      <c r="A101" s="6">
        <v>45987</v>
      </c>
      <c r="B101" s="3">
        <f>(Prices!B101-Prices!B102)/Prices!B102</f>
        <v>6.9034991555805281E-3</v>
      </c>
      <c r="C101" s="3">
        <f>(Prices!D101-Prices!D102)/Prices!D102</f>
        <v>8.8357502997257233E-3</v>
      </c>
      <c r="D101" s="3">
        <f>(Prices!F101-Prices!F102)/Prices!F102</f>
        <v>1.5873015873015535E-3</v>
      </c>
      <c r="E101" s="3">
        <f>(Prices!H101-Prices!H102)/Prices!H102</f>
        <v>7.9983161439697442E-3</v>
      </c>
      <c r="G101" s="4">
        <f>Inputs!$B$1*((Inputs!$B$6*Returns!B101)+(Inputs!$B$7*Returns!C101)+(Inputs!$B$8*Returns!D101)+(Inputs!$B$9*Returns!E101))</f>
        <v>616.69942483860052</v>
      </c>
    </row>
    <row r="102" spans="1:7" x14ac:dyDescent="0.4">
      <c r="A102" s="6">
        <v>45986</v>
      </c>
      <c r="B102" s="3">
        <f>(Prices!B102-Prices!B103)/Prices!B103</f>
        <v>9.4058887742436616E-3</v>
      </c>
      <c r="C102" s="3">
        <f>(Prices!D102-Prices!D103)/Prices!D103</f>
        <v>6.1636591975676161E-3</v>
      </c>
      <c r="D102" s="3">
        <f>(Prices!F102-Prices!F103)/Prices!F103</f>
        <v>1.58982511923685E-3</v>
      </c>
      <c r="E102" s="3">
        <f>(Prices!H102-Prices!H103)/Prices!H103</f>
        <v>-3.1562335612836547E-4</v>
      </c>
      <c r="G102" s="4">
        <f>Inputs!$B$1*((Inputs!$B$6*Returns!B102)+(Inputs!$B$7*Returns!C102)+(Inputs!$B$8*Returns!D102)+(Inputs!$B$9*Returns!E102))</f>
        <v>566.91642532857452</v>
      </c>
    </row>
    <row r="103" spans="1:7" x14ac:dyDescent="0.4">
      <c r="A103" s="6">
        <v>45985</v>
      </c>
      <c r="B103" s="3">
        <f>(Prices!B103-Prices!B104)/Prices!B104</f>
        <v>1.4718601581111703E-2</v>
      </c>
      <c r="C103" s="3">
        <f>(Prices!D103-Prices!D104)/Prices!D104</f>
        <v>2.5573237073567401E-2</v>
      </c>
      <c r="D103" s="3">
        <f>(Prices!F103-Prices!F104)/Prices!F104</f>
        <v>1.9912385503783638E-3</v>
      </c>
      <c r="E103" s="3">
        <f>(Prices!H103-Prices!H104)/Prices!H104</f>
        <v>1.5844176663905755E-2</v>
      </c>
      <c r="G103" s="4">
        <f>Inputs!$B$1*((Inputs!$B$6*Returns!B103)+(Inputs!$B$7*Returns!C103)+(Inputs!$B$8*Returns!D103)+(Inputs!$B$9*Returns!E103))</f>
        <v>1436.2977204821698</v>
      </c>
    </row>
    <row r="104" spans="1:7" x14ac:dyDescent="0.4">
      <c r="A104" s="6">
        <v>45982</v>
      </c>
      <c r="B104" s="3">
        <f>(Prices!B104-Prices!B105)/Prices!B105</f>
        <v>9.9612278362680648E-3</v>
      </c>
      <c r="C104" s="3">
        <f>(Prices!D104-Prices!D105)/Prices!D105</f>
        <v>7.5127631601415324E-3</v>
      </c>
      <c r="D104" s="3">
        <f>(Prices!F104-Prices!F105)/Prices!F105</f>
        <v>2.3952095808382722E-3</v>
      </c>
      <c r="E104" s="3">
        <f>(Prices!H104-Prices!H105)/Prices!H105</f>
        <v>-1.5472855808991355E-3</v>
      </c>
      <c r="G104" s="4">
        <f>Inputs!$B$1*((Inputs!$B$6*Returns!B104)+(Inputs!$B$7*Returns!C104)+(Inputs!$B$8*Returns!D104)+(Inputs!$B$9*Returns!E104))</f>
        <v>630.67557616622639</v>
      </c>
    </row>
    <row r="105" spans="1:7" x14ac:dyDescent="0.4">
      <c r="A105" s="6">
        <v>45981</v>
      </c>
      <c r="B105" s="3">
        <f>(Prices!B105-Prices!B106)/Prices!B106</f>
        <v>-1.5242292078535566E-2</v>
      </c>
      <c r="C105" s="3">
        <f>(Prices!D105-Prices!D106)/Prices!D106</f>
        <v>-2.3671795555703812E-2</v>
      </c>
      <c r="D105" s="3">
        <f>(Prices!F105-Prices!F106)/Prices!F106</f>
        <v>1.1990407673861366E-3</v>
      </c>
      <c r="E105" s="3">
        <f>(Prices!H105-Prices!H106)/Prices!H106</f>
        <v>-2.9336462555994456E-4</v>
      </c>
      <c r="G105" s="4">
        <f>Inputs!$B$1*((Inputs!$B$6*Returns!B105)+(Inputs!$B$7*Returns!C105)+(Inputs!$B$8*Returns!D105)+(Inputs!$B$9*Returns!E105))</f>
        <v>-1174.4441991049639</v>
      </c>
    </row>
    <row r="106" spans="1:7" x14ac:dyDescent="0.4">
      <c r="A106" s="6">
        <v>45980</v>
      </c>
      <c r="B106" s="3">
        <f>(Prices!B106-Prices!B107)/Prices!B107</f>
        <v>3.8631681008361933E-3</v>
      </c>
      <c r="C106" s="3">
        <f>(Prices!D106-Prices!D107)/Prices!D107</f>
        <v>5.9700491355168615E-3</v>
      </c>
      <c r="D106" s="3">
        <f>(Prices!F106-Prices!F107)/Prices!F107</f>
        <v>0</v>
      </c>
      <c r="E106" s="3">
        <f>(Prices!H106-Prices!H107)/Prices!H107</f>
        <v>1.6294911179376432E-3</v>
      </c>
      <c r="G106" s="4">
        <f>Inputs!$B$1*((Inputs!$B$6*Returns!B106)+(Inputs!$B$7*Returns!C106)+(Inputs!$B$8*Returns!D106)+(Inputs!$B$9*Returns!E106))</f>
        <v>320.07286360074573</v>
      </c>
    </row>
    <row r="107" spans="1:7" x14ac:dyDescent="0.4">
      <c r="A107" s="6">
        <v>45979</v>
      </c>
      <c r="B107" s="3">
        <f>(Prices!B107-Prices!B108)/Prices!B108</f>
        <v>-8.3975543437437745E-3</v>
      </c>
      <c r="C107" s="3">
        <f>(Prices!D107-Prices!D108)/Prices!D108</f>
        <v>-1.2175728058841108E-2</v>
      </c>
      <c r="D107" s="3">
        <f>(Prices!F107-Prices!F108)/Prices!F108</f>
        <v>5.9988002399522368E-4</v>
      </c>
      <c r="E107" s="3">
        <f>(Prices!H107-Prices!H108)/Prices!H108</f>
        <v>7.2648997712903155E-3</v>
      </c>
      <c r="G107" s="4">
        <f>Inputs!$B$1*((Inputs!$B$6*Returns!B107)+(Inputs!$B$7*Returns!C107)+(Inputs!$B$8*Returns!D107)+(Inputs!$B$9*Returns!E107))</f>
        <v>-552.64937690799491</v>
      </c>
    </row>
    <row r="108" spans="1:7" x14ac:dyDescent="0.4">
      <c r="A108" s="6">
        <v>45978</v>
      </c>
      <c r="B108" s="3">
        <f>(Prices!B108-Prices!B109)/Prices!B109</f>
        <v>-9.3164466536692688E-3</v>
      </c>
      <c r="C108" s="3">
        <f>(Prices!D108-Prices!D109)/Prices!D109</f>
        <v>-8.5405511940348285E-3</v>
      </c>
      <c r="D108" s="3">
        <f>(Prices!F108-Prices!F109)/Prices!F109</f>
        <v>1.9999999999996022E-4</v>
      </c>
      <c r="E108" s="3">
        <f>(Prices!H108-Prices!H109)/Prices!H109</f>
        <v>-1.1463985530375578E-2</v>
      </c>
      <c r="G108" s="4">
        <f>Inputs!$B$1*((Inputs!$B$6*Returns!B108)+(Inputs!$B$7*Returns!C108)+(Inputs!$B$8*Returns!D108)+(Inputs!$B$9*Returns!E108))</f>
        <v>-695.81150130139827</v>
      </c>
    </row>
    <row r="109" spans="1:7" x14ac:dyDescent="0.4">
      <c r="A109" s="6">
        <v>45975</v>
      </c>
      <c r="B109" s="3">
        <f>(Prices!B109-Prices!B110)/Prices!B110</f>
        <v>-1.6368073328970544E-4</v>
      </c>
      <c r="C109" s="3">
        <f>(Prices!D109-Prices!D110)/Prices!D110</f>
        <v>7.5608152531235441E-4</v>
      </c>
      <c r="D109" s="3">
        <f>(Prices!F109-Prices!F110)/Prices!F110</f>
        <v>-1.1985617259289308E-3</v>
      </c>
      <c r="E109" s="3">
        <f>(Prices!H109-Prices!H110)/Prices!H110</f>
        <v>-1.8047901376446379E-2</v>
      </c>
      <c r="G109" s="4">
        <f>Inputs!$B$1*((Inputs!$B$6*Returns!B109)+(Inputs!$B$7*Returns!C109)+(Inputs!$B$8*Returns!D109)+(Inputs!$B$9*Returns!E109))</f>
        <v>-198.08824811146644</v>
      </c>
    </row>
    <row r="110" spans="1:7" x14ac:dyDescent="0.4">
      <c r="A110" s="6">
        <v>45974</v>
      </c>
      <c r="B110" s="3">
        <f>(Prices!B110-Prices!B111)/Prices!B111</f>
        <v>-1.659398870321056E-2</v>
      </c>
      <c r="C110" s="3">
        <f>(Prices!D110-Prices!D111)/Prices!D111</f>
        <v>-2.0416049462227189E-2</v>
      </c>
      <c r="D110" s="3">
        <f>(Prices!F110-Prices!F111)/Prices!F111</f>
        <v>-2.9874526986655762E-3</v>
      </c>
      <c r="E110" s="3">
        <f>(Prices!H110-Prices!H111)/Prices!H111</f>
        <v>-8.0831109614238825E-3</v>
      </c>
      <c r="G110" s="4">
        <f>Inputs!$B$1*((Inputs!$B$6*Returns!B110)+(Inputs!$B$7*Returns!C110)+(Inputs!$B$8*Returns!D110)+(Inputs!$B$9*Returns!E110))</f>
        <v>-1329.6782117649805</v>
      </c>
    </row>
    <row r="111" spans="1:7" x14ac:dyDescent="0.4">
      <c r="A111" s="6">
        <v>45973</v>
      </c>
      <c r="B111" s="3">
        <f>(Prices!B111-Prices!B112)/Prices!B112</f>
        <v>5.5636896046851452E-4</v>
      </c>
      <c r="C111" s="3">
        <f>(Prices!D111-Prices!D112)/Prices!D112</f>
        <v>-7.8832633492608882E-4</v>
      </c>
      <c r="D111" s="3">
        <f>(Prices!F111-Prices!F112)/Prices!F112</f>
        <v>-3.9816842524379895E-4</v>
      </c>
      <c r="E111" s="3">
        <f>(Prices!H111-Prices!H112)/Prices!H112</f>
        <v>1.6110774738726418E-2</v>
      </c>
      <c r="G111" s="4">
        <f>Inputs!$B$1*((Inputs!$B$6*Returns!B111)+(Inputs!$B$7*Returns!C111)+(Inputs!$B$8*Returns!D111)+(Inputs!$B$9*Returns!E111))</f>
        <v>153.70013680175757</v>
      </c>
    </row>
    <row r="112" spans="1:7" x14ac:dyDescent="0.4">
      <c r="A112" s="6">
        <v>45972</v>
      </c>
      <c r="B112" s="3">
        <f>(Prices!B112-Prices!B113)/Prices!B113</f>
        <v>2.2892697816388023E-3</v>
      </c>
      <c r="C112" s="3">
        <f>(Prices!D112-Prices!D113)/Prices!D113</f>
        <v>-2.6635431542126795E-3</v>
      </c>
      <c r="D112" s="3">
        <f>(Prices!F112-Prices!F113)/Prices!F113</f>
        <v>2.9952076677316011E-3</v>
      </c>
      <c r="E112" s="3">
        <f>(Prices!H112-Prices!H113)/Prices!H113</f>
        <v>3.9378402663988827E-3</v>
      </c>
      <c r="G112" s="4">
        <f>Inputs!$B$1*((Inputs!$B$6*Returns!B112)+(Inputs!$B$7*Returns!C112)+(Inputs!$B$8*Returns!D112)+(Inputs!$B$9*Returns!E112))</f>
        <v>139.24080676751396</v>
      </c>
    </row>
    <row r="113" spans="1:7" x14ac:dyDescent="0.4">
      <c r="A113" s="6">
        <v>45971</v>
      </c>
      <c r="B113" s="3">
        <f>(Prices!B113-Prices!B114)/Prices!B114</f>
        <v>1.5604274408691934E-2</v>
      </c>
      <c r="C113" s="3">
        <f>(Prices!D113-Prices!D114)/Prices!D114</f>
        <v>2.2124184078459685E-2</v>
      </c>
      <c r="D113" s="3">
        <f>(Prices!F113-Prices!F114)/Prices!F114</f>
        <v>-3.992015968064496E-4</v>
      </c>
      <c r="E113" s="3">
        <f>(Prices!H113-Prices!H114)/Prices!H114</f>
        <v>2.7341098531128649E-2</v>
      </c>
      <c r="G113" s="4">
        <f>Inputs!$B$1*((Inputs!$B$6*Returns!B113)+(Inputs!$B$7*Returns!C113)+(Inputs!$B$8*Returns!D113)+(Inputs!$B$9*Returns!E113))</f>
        <v>1440.7065237002948</v>
      </c>
    </row>
    <row r="114" spans="1:7" x14ac:dyDescent="0.4">
      <c r="A114" s="6">
        <v>45968</v>
      </c>
      <c r="B114" s="3">
        <f>(Prices!B114-Prices!B115)/Prices!B115</f>
        <v>9.8461905685441348E-4</v>
      </c>
      <c r="C114" s="3">
        <f>(Prices!D114-Prices!D115)/Prices!D115</f>
        <v>-3.1552961564241342E-3</v>
      </c>
      <c r="D114" s="3">
        <f>(Prices!F114-Prices!F115)/Prices!F115</f>
        <v>-3.9904229848355992E-4</v>
      </c>
      <c r="E114" s="3">
        <f>(Prices!H114-Prices!H115)/Prices!H115</f>
        <v>6.1190482694566863E-3</v>
      </c>
      <c r="G114" s="4">
        <f>Inputs!$B$1*((Inputs!$B$6*Returns!B114)+(Inputs!$B$7*Returns!C114)+(Inputs!$B$8*Returns!D114)+(Inputs!$B$9*Returns!E114))</f>
        <v>11.71678359605105</v>
      </c>
    </row>
    <row r="115" spans="1:7" x14ac:dyDescent="0.4">
      <c r="A115" s="6">
        <v>45967</v>
      </c>
      <c r="B115" s="3">
        <f>(Prices!B115-Prices!B116)/Prices!B116</f>
        <v>-1.0729360370731272E-2</v>
      </c>
      <c r="C115" s="3">
        <f>(Prices!D115-Prices!D116)/Prices!D116</f>
        <v>-1.8627262225644998E-2</v>
      </c>
      <c r="D115" s="3">
        <f>(Prices!F115-Prices!F116)/Prices!F116</f>
        <v>3.7048162611393845E-3</v>
      </c>
      <c r="E115" s="3">
        <f>(Prices!H115-Prices!H116)/Prices!H116</f>
        <v>-1.2005129464407458E-3</v>
      </c>
      <c r="G115" s="4">
        <f>Inputs!$B$1*((Inputs!$B$6*Returns!B115)+(Inputs!$B$7*Returns!C115)+(Inputs!$B$8*Returns!D115)+(Inputs!$B$9*Returns!E115))</f>
        <v>-814.24069340629865</v>
      </c>
    </row>
    <row r="116" spans="1:7" x14ac:dyDescent="0.4">
      <c r="A116" s="6">
        <v>45966</v>
      </c>
      <c r="B116" s="3">
        <f>(Prices!B116-Prices!B117)/Prices!B117</f>
        <v>3.4654345121734966E-3</v>
      </c>
      <c r="C116" s="3">
        <f>(Prices!D116-Prices!D117)/Prices!D117</f>
        <v>6.5078724263221196E-3</v>
      </c>
      <c r="D116" s="3">
        <f>(Prices!F116-Prices!F117)/Prices!F117</f>
        <v>-2.6962252846015181E-3</v>
      </c>
      <c r="E116" s="3">
        <f>(Prices!H116-Prices!H117)/Prices!H117</f>
        <v>1.1564362994038412E-2</v>
      </c>
      <c r="G116" s="4">
        <f>Inputs!$B$1*((Inputs!$B$6*Returns!B116)+(Inputs!$B$7*Returns!C116)+(Inputs!$B$8*Returns!D116)+(Inputs!$B$9*Returns!E116))</f>
        <v>349.55218897033905</v>
      </c>
    </row>
    <row r="117" spans="1:7" x14ac:dyDescent="0.4">
      <c r="A117" s="6">
        <v>45965</v>
      </c>
      <c r="B117" s="3">
        <f>(Prices!B117-Prices!B118)/Prices!B118</f>
        <v>-1.1853542892264498E-2</v>
      </c>
      <c r="C117" s="3">
        <f>(Prices!D117-Prices!D118)/Prices!D118</f>
        <v>-2.0298063536261297E-2</v>
      </c>
      <c r="D117" s="3">
        <f>(Prices!F117-Prices!F118)/Prices!F118</f>
        <v>4.9955040463579934E-4</v>
      </c>
      <c r="E117" s="3">
        <f>(Prices!H117-Prices!H118)/Prices!H118</f>
        <v>-1.7517218938120235E-2</v>
      </c>
      <c r="G117" s="4">
        <f>Inputs!$B$1*((Inputs!$B$6*Returns!B117)+(Inputs!$B$7*Returns!C117)+(Inputs!$B$8*Returns!D117)+(Inputs!$B$9*Returns!E117))</f>
        <v>-1144.2767333624199</v>
      </c>
    </row>
    <row r="118" spans="1:7" x14ac:dyDescent="0.4">
      <c r="A118" s="6">
        <v>45964</v>
      </c>
      <c r="B118" s="3">
        <f>(Prices!B118-Prices!B119)/Prices!B119</f>
        <v>1.8766677418410205E-3</v>
      </c>
      <c r="C118" s="3">
        <f>(Prices!D118-Prices!D119)/Prices!D119</f>
        <v>4.7848411146613106E-3</v>
      </c>
      <c r="D118" s="3">
        <f>(Prices!F118-Prices!F119)/Prices!F119</f>
        <v>-4.475830515217852E-3</v>
      </c>
      <c r="E118" s="3">
        <f>(Prices!H118-Prices!H119)/Prices!H119</f>
        <v>1.7928936216450291E-3</v>
      </c>
      <c r="G118" s="4">
        <f>Inputs!$B$1*((Inputs!$B$6*Returns!B118)+(Inputs!$B$7*Returns!C118)+(Inputs!$B$8*Returns!D118)+(Inputs!$B$9*Returns!E118))</f>
        <v>100.72091087617758</v>
      </c>
    </row>
    <row r="119" spans="1:7" x14ac:dyDescent="0.4">
      <c r="A119" s="6">
        <v>45961</v>
      </c>
      <c r="B119" s="3">
        <f>(Prices!B119-Prices!B120)/Prices!B120</f>
        <v>3.2802318226614071E-3</v>
      </c>
      <c r="C119" s="3">
        <f>(Prices!D119-Prices!D120)/Prices!D120</f>
        <v>4.8238958549638141E-3</v>
      </c>
      <c r="D119" s="3">
        <f>(Prices!F119-Prices!F120)/Prices!F120</f>
        <v>-5.9642147117284355E-4</v>
      </c>
      <c r="E119" s="3">
        <f>(Prices!H119-Prices!H120)/Prices!H120</f>
        <v>-5.4305244103422879E-3</v>
      </c>
      <c r="G119" s="4">
        <f>Inputs!$B$1*((Inputs!$B$6*Returns!B119)+(Inputs!$B$7*Returns!C119)+(Inputs!$B$8*Returns!D119)+(Inputs!$B$9*Returns!E119))</f>
        <v>182.59088839780767</v>
      </c>
    </row>
    <row r="120" spans="1:7" x14ac:dyDescent="0.4">
      <c r="A120" s="6">
        <v>45960</v>
      </c>
      <c r="B120" s="3">
        <f>(Prices!B120-Prices!B121)/Prices!B121</f>
        <v>-1.0998123336097333E-2</v>
      </c>
      <c r="C120" s="3">
        <f>(Prices!D120-Prices!D121)/Prices!D121</f>
        <v>-1.528854774525383E-2</v>
      </c>
      <c r="D120" s="3">
        <f>(Prices!F120-Prices!F121)/Prices!F121</f>
        <v>-1.8851076495685279E-3</v>
      </c>
      <c r="E120" s="3">
        <f>(Prices!H120-Prices!H121)/Prices!H121</f>
        <v>1.9641873278236903E-2</v>
      </c>
      <c r="G120" s="4">
        <f>Inputs!$B$1*((Inputs!$B$6*Returns!B120)+(Inputs!$B$7*Returns!C120)+(Inputs!$B$8*Returns!D120)+(Inputs!$B$9*Returns!E120))</f>
        <v>-672.84758553208314</v>
      </c>
    </row>
    <row r="121" spans="1:7" x14ac:dyDescent="0.4">
      <c r="A121" s="6">
        <v>45959</v>
      </c>
      <c r="B121" s="3">
        <f>(Prices!B121-Prices!B122)/Prices!B122</f>
        <v>4.8030739673396932E-4</v>
      </c>
      <c r="C121" s="3">
        <f>(Prices!D121-Prices!D122)/Prices!D122</f>
        <v>4.5029387600329001E-3</v>
      </c>
      <c r="D121" s="3">
        <f>(Prices!F121-Prices!F122)/Prices!F122</f>
        <v>-4.7398044830649728E-3</v>
      </c>
      <c r="E121" s="3">
        <f>(Prices!H121-Prices!H122)/Prices!H122</f>
        <v>-3.7872550633953439E-3</v>
      </c>
      <c r="G121" s="4">
        <f>Inputs!$B$1*((Inputs!$B$6*Returns!B121)+(Inputs!$B$7*Returns!C121)+(Inputs!$B$8*Returns!D121)+(Inputs!$B$9*Returns!E121))</f>
        <v>-24.58189784039649</v>
      </c>
    </row>
    <row r="122" spans="1:7" x14ac:dyDescent="0.4">
      <c r="A122" s="6">
        <v>45958</v>
      </c>
      <c r="B122" s="3">
        <f>(Prices!B122-Prices!B123)/Prices!B123</f>
        <v>2.65600373591725E-3</v>
      </c>
      <c r="C122" s="3">
        <f>(Prices!D122-Prices!D123)/Prices!D123</f>
        <v>7.6899807352448328E-3</v>
      </c>
      <c r="D122" s="3">
        <f>(Prices!F122-Prices!F123)/Prices!F123</f>
        <v>5.9282679577119131E-4</v>
      </c>
      <c r="E122" s="3">
        <f>(Prices!H122-Prices!H123)/Prices!H123</f>
        <v>-7.1660172747336466E-3</v>
      </c>
      <c r="G122" s="4">
        <f>Inputs!$B$1*((Inputs!$B$6*Returns!B122)+(Inputs!$B$7*Returns!C122)+(Inputs!$B$8*Returns!D122)+(Inputs!$B$9*Returns!E122))</f>
        <v>241.65016496475411</v>
      </c>
    </row>
    <row r="123" spans="1:7" x14ac:dyDescent="0.4">
      <c r="A123" s="6">
        <v>45957</v>
      </c>
      <c r="B123" s="3">
        <f>(Prices!B123-Prices!B124)/Prices!B124</f>
        <v>1.1797711332595067E-2</v>
      </c>
      <c r="C123" s="3">
        <f>(Prices!D123-Prices!D124)/Prices!D124</f>
        <v>1.7809107113919961E-2</v>
      </c>
      <c r="D123" s="3">
        <f>(Prices!F123-Prices!F124)/Prices!F124</f>
        <v>6.9210994660859381E-4</v>
      </c>
      <c r="E123" s="3">
        <f>(Prices!H123-Prices!H124)/Prices!H124</f>
        <v>-2.7839584657766453E-2</v>
      </c>
      <c r="G123" s="4">
        <f>Inputs!$B$1*((Inputs!$B$6*Returns!B123)+(Inputs!$B$7*Returns!C123)+(Inputs!$B$8*Returns!D123)+(Inputs!$B$9*Returns!E123))</f>
        <v>656.04303323935198</v>
      </c>
    </row>
    <row r="124" spans="1:7" x14ac:dyDescent="0.4">
      <c r="A124" s="6">
        <v>45954</v>
      </c>
      <c r="B124" s="3">
        <f>(Prices!B124-Prices!B125)/Prices!B125</f>
        <v>8.1725616291532834E-3</v>
      </c>
      <c r="C124" s="3">
        <f>(Prices!D124-Prices!D125)/Prices!D125</f>
        <v>1.0678371384585118E-2</v>
      </c>
      <c r="D124" s="3">
        <f>(Prices!F124-Prices!F125)/Prices!F125</f>
        <v>9.8970704671411634E-4</v>
      </c>
      <c r="E124" s="3">
        <f>(Prices!H124-Prices!H125)/Prices!H125</f>
        <v>-3.3527812244252449E-3</v>
      </c>
      <c r="G124" s="4">
        <f>Inputs!$B$1*((Inputs!$B$6*Returns!B124)+(Inputs!$B$7*Returns!C124)+(Inputs!$B$8*Returns!D124)+(Inputs!$B$9*Returns!E124))</f>
        <v>585.07661370435972</v>
      </c>
    </row>
    <row r="125" spans="1:7" x14ac:dyDescent="0.4">
      <c r="A125" s="6">
        <v>45953</v>
      </c>
      <c r="B125" s="3">
        <f>(Prices!B125-Prices!B126)/Prices!B126</f>
        <v>5.9299191374663626E-3</v>
      </c>
      <c r="C125" s="3">
        <f>(Prices!D125-Prices!D126)/Prices!D126</f>
        <v>8.4064146393830318E-3</v>
      </c>
      <c r="D125" s="3">
        <f>(Prices!F125-Prices!F126)/Prices!F126</f>
        <v>-1.7783046828689253E-3</v>
      </c>
      <c r="E125" s="3">
        <f>(Prices!H125-Prices!H126)/Prices!H126</f>
        <v>4.0023324851570395E-3</v>
      </c>
      <c r="G125" s="4">
        <f>Inputs!$B$1*((Inputs!$B$6*Returns!B125)+(Inputs!$B$7*Returns!C125)+(Inputs!$B$8*Returns!D125)+(Inputs!$B$9*Returns!E125))</f>
        <v>442.92283926307755</v>
      </c>
    </row>
    <row r="126" spans="1:7" x14ac:dyDescent="0.4">
      <c r="A126" s="6">
        <v>45952</v>
      </c>
      <c r="B126" s="3">
        <f>(Prices!B126-Prices!B127)/Prices!B127</f>
        <v>-5.1989453142457197E-3</v>
      </c>
      <c r="C126" s="3">
        <f>(Prices!D126-Prices!D127)/Prices!D127</f>
        <v>-9.6339428833131374E-3</v>
      </c>
      <c r="D126" s="3">
        <f>(Prices!F126-Prices!F127)/Prices!F127</f>
        <v>-9.8784945174405968E-5</v>
      </c>
      <c r="E126" s="3">
        <f>(Prices!H126-Prices!H127)/Prices!H127</f>
        <v>1.0603329445436227E-4</v>
      </c>
      <c r="G126" s="4">
        <f>Inputs!$B$1*((Inputs!$B$6*Returns!B126)+(Inputs!$B$7*Returns!C126)+(Inputs!$B$8*Returns!D126)+(Inputs!$B$9*Returns!E126))</f>
        <v>-450.21567533747378</v>
      </c>
    </row>
    <row r="127" spans="1:7" x14ac:dyDescent="0.4">
      <c r="A127" s="6">
        <v>45951</v>
      </c>
      <c r="B127" s="3">
        <f>(Prices!B127-Prices!B128)/Prices!B128</f>
        <v>-1.4896469536706249E-5</v>
      </c>
      <c r="C127" s="3">
        <f>(Prices!D127-Prices!D128)/Prices!D128</f>
        <v>-2.6163456192557834E-4</v>
      </c>
      <c r="D127" s="3">
        <f>(Prices!F127-Prices!F128)/Prices!F128</f>
        <v>9.8882626322563567E-4</v>
      </c>
      <c r="E127" s="3">
        <f>(Prices!H127-Prices!H128)/Prices!H128</f>
        <v>-6.4268882549919304E-2</v>
      </c>
      <c r="G127" s="4">
        <f>Inputs!$B$1*((Inputs!$B$6*Returns!B127)+(Inputs!$B$7*Returns!C127)+(Inputs!$B$8*Returns!D127)+(Inputs!$B$9*Returns!E127))</f>
        <v>-625.10489174815984</v>
      </c>
    </row>
    <row r="128" spans="1:7" x14ac:dyDescent="0.4">
      <c r="A128" s="6">
        <v>45950</v>
      </c>
      <c r="B128" s="3">
        <f>(Prices!B128-Prices!B129)/Prices!B129</f>
        <v>1.0400517768178281E-2</v>
      </c>
      <c r="C128" s="3">
        <f>(Prices!D128-Prices!D129)/Prices!D129</f>
        <v>1.2600798105740755E-2</v>
      </c>
      <c r="D128" s="3">
        <f>(Prices!F128-Prices!F129)/Prices!F129</f>
        <v>1.6838351822504132E-3</v>
      </c>
      <c r="E128" s="3">
        <f>(Prices!H128-Prices!H129)/Prices!H129</f>
        <v>3.6401964060772687E-2</v>
      </c>
      <c r="G128" s="4">
        <f>Inputs!$B$1*((Inputs!$B$6*Returns!B128)+(Inputs!$B$7*Returns!C128)+(Inputs!$B$8*Returns!D128)+(Inputs!$B$9*Returns!E128))</f>
        <v>1137.1561835346374</v>
      </c>
    </row>
    <row r="129" spans="1:7" x14ac:dyDescent="0.4">
      <c r="A129" s="6">
        <v>45947</v>
      </c>
      <c r="B129" s="3">
        <f>(Prices!B129-Prices!B130)/Prices!B130</f>
        <v>5.6763138774521679E-3</v>
      </c>
      <c r="C129" s="3">
        <f>(Prices!D129-Prices!D130)/Prices!D130</f>
        <v>6.5667761129351169E-3</v>
      </c>
      <c r="D129" s="3">
        <f>(Prices!F129-Prices!F130)/Prices!F130</f>
        <v>-1.3847675568743876E-3</v>
      </c>
      <c r="E129" s="3">
        <f>(Prices!H129-Prices!H130)/Prices!H130</f>
        <v>-1.8817000882835111E-2</v>
      </c>
      <c r="G129" s="4">
        <f>Inputs!$B$1*((Inputs!$B$6*Returns!B129)+(Inputs!$B$7*Returns!C129)+(Inputs!$B$8*Returns!D129)+(Inputs!$B$9*Returns!E129))</f>
        <v>168.43276017125385</v>
      </c>
    </row>
    <row r="130" spans="1:7" x14ac:dyDescent="0.4">
      <c r="A130" s="6">
        <v>45946</v>
      </c>
      <c r="B130" s="3">
        <f>(Prices!B130-Prices!B131)/Prices!B131</f>
        <v>-6.8102890990272757E-3</v>
      </c>
      <c r="C130" s="3">
        <f>(Prices!D130-Prices!D131)/Prices!D131</f>
        <v>-3.7029656936003754E-3</v>
      </c>
      <c r="D130" s="3">
        <f>(Prices!F130-Prices!F131)/Prices!F131</f>
        <v>3.5735556879094646E-3</v>
      </c>
      <c r="E130" s="3">
        <f>(Prices!H130-Prices!H131)/Prices!H131</f>
        <v>2.3387284132269811E-2</v>
      </c>
      <c r="G130" s="4">
        <f>Inputs!$B$1*((Inputs!$B$6*Returns!B130)+(Inputs!$B$7*Returns!C130)+(Inputs!$B$8*Returns!D130)+(Inputs!$B$9*Returns!E130))</f>
        <v>-41.77397278066568</v>
      </c>
    </row>
    <row r="131" spans="1:7" x14ac:dyDescent="0.4">
      <c r="A131" s="6">
        <v>45945</v>
      </c>
      <c r="B131" s="3">
        <f>(Prices!B131-Prices!B132)/Prices!B132</f>
        <v>4.4395451731270722E-3</v>
      </c>
      <c r="C131" s="3">
        <f>(Prices!D131-Prices!D132)/Prices!D132</f>
        <v>7.0568561872910154E-3</v>
      </c>
      <c r="D131" s="3">
        <f>(Prices!F131-Prices!F132)/Prices!F132</f>
        <v>-3.9690414764840496E-4</v>
      </c>
      <c r="E131" s="3">
        <f>(Prices!H131-Prices!H132)/Prices!H132</f>
        <v>1.7332387930355225E-2</v>
      </c>
      <c r="G131" s="4">
        <f>Inputs!$B$1*((Inputs!$B$6*Returns!B131)+(Inputs!$B$7*Returns!C131)+(Inputs!$B$8*Returns!D131)+(Inputs!$B$9*Returns!E131))</f>
        <v>517.4044872197004</v>
      </c>
    </row>
    <row r="132" spans="1:7" x14ac:dyDescent="0.4">
      <c r="A132" s="6">
        <v>45944</v>
      </c>
      <c r="B132" s="3">
        <f>(Prices!B132-Prices!B133)/Prices!B133</f>
        <v>-1.2216457528956707E-3</v>
      </c>
      <c r="C132" s="3">
        <f>(Prices!D132-Prices!D133)/Prices!D133</f>
        <v>-6.6610189199514808E-3</v>
      </c>
      <c r="D132" s="3">
        <f>(Prices!F132-Prices!F133)/Prices!F133</f>
        <v>1.5901411250248119E-3</v>
      </c>
      <c r="E132" s="3">
        <f>(Prices!H132-Prices!H133)/Prices!H133</f>
        <v>7.1411568674126418E-3</v>
      </c>
      <c r="G132" s="4">
        <f>Inputs!$B$1*((Inputs!$B$6*Returns!B132)+(Inputs!$B$7*Returns!C132)+(Inputs!$B$8*Returns!D132)+(Inputs!$B$9*Returns!E132))</f>
        <v>-104.22620631486716</v>
      </c>
    </row>
    <row r="133" spans="1:7" x14ac:dyDescent="0.4">
      <c r="A133" s="6">
        <v>45943</v>
      </c>
      <c r="B133" s="3">
        <f>(Prices!B133-Prices!B134)/Prices!B134</f>
        <v>1.5344093595908215E-2</v>
      </c>
      <c r="C133" s="3">
        <f>(Prices!D133-Prices!D134)/Prices!D134</f>
        <v>2.122137404580151E-2</v>
      </c>
      <c r="D133" s="3">
        <f>(Prices!F133-Prices!F134)/Prices!F134</f>
        <v>1.8918649805834682E-3</v>
      </c>
      <c r="E133" s="3">
        <f>(Prices!H133-Prices!H134)/Prices!H134</f>
        <v>2.4301040312093548E-2</v>
      </c>
      <c r="G133" s="4">
        <f>Inputs!$B$1*((Inputs!$B$6*Returns!B133)+(Inputs!$B$7*Returns!C133)+(Inputs!$B$8*Returns!D133)+(Inputs!$B$9*Returns!E133))</f>
        <v>1434.6051226168886</v>
      </c>
    </row>
    <row r="134" spans="1:7" x14ac:dyDescent="0.4">
      <c r="A134" s="6">
        <v>45940</v>
      </c>
      <c r="B134" s="3">
        <f>(Prices!B134-Prices!B135)/Prices!B135</f>
        <v>-2.7027832409559551E-2</v>
      </c>
      <c r="C134" s="3">
        <f>(Prices!D134-Prices!D135)/Prices!D135</f>
        <v>-3.4714262321925732E-2</v>
      </c>
      <c r="D134" s="3">
        <f>(Prices!F134-Prices!F135)/Prices!F135</f>
        <v>4.0991801639673146E-3</v>
      </c>
      <c r="E134" s="3">
        <f>(Prices!H134-Prices!H135)/Prices!H135</f>
        <v>1.0097693128642962E-2</v>
      </c>
      <c r="G134" s="4">
        <f>Inputs!$B$1*((Inputs!$B$6*Returns!B134)+(Inputs!$B$7*Returns!C134)+(Inputs!$B$8*Returns!D134)+(Inputs!$B$9*Returns!E134))</f>
        <v>-1745.5134190449126</v>
      </c>
    </row>
    <row r="135" spans="1:7" x14ac:dyDescent="0.4">
      <c r="A135" s="6">
        <v>45939</v>
      </c>
      <c r="B135" s="3">
        <f>(Prices!B135-Prices!B136)/Prices!B136</f>
        <v>-2.8970004902616887E-3</v>
      </c>
      <c r="C135" s="3">
        <f>(Prices!D135-Prices!D136)/Prices!D136</f>
        <v>-1.2102577521915627E-3</v>
      </c>
      <c r="D135" s="3">
        <f>(Prices!F135-Prices!F136)/Prices!F136</f>
        <v>-1.1983223487118488E-3</v>
      </c>
      <c r="E135" s="3">
        <f>(Prices!H135-Prices!H136)/Prices!H136</f>
        <v>-1.8452860596293325E-2</v>
      </c>
      <c r="G135" s="4">
        <f>Inputs!$B$1*((Inputs!$B$6*Returns!B135)+(Inputs!$B$7*Returns!C135)+(Inputs!$B$8*Returns!D135)+(Inputs!$B$9*Returns!E135))</f>
        <v>-360.62312809598609</v>
      </c>
    </row>
    <row r="136" spans="1:7" x14ac:dyDescent="0.4">
      <c r="A136" s="6">
        <v>45938</v>
      </c>
      <c r="B136" s="3">
        <f>(Prices!B136-Prices!B137)/Prices!B137</f>
        <v>5.9630559540889659E-3</v>
      </c>
      <c r="C136" s="3">
        <f>(Prices!D136-Prices!D137)/Prices!D137</f>
        <v>1.1463830209591346E-2</v>
      </c>
      <c r="D136" s="3">
        <f>(Prices!F136-Prices!F137)/Prices!F137</f>
        <v>9.9870168780636336E-5</v>
      </c>
      <c r="E136" s="3">
        <f>(Prices!H136-Prices!H137)/Prices!H137</f>
        <v>1.6491017310107631E-2</v>
      </c>
      <c r="G136" s="4">
        <f>Inputs!$B$1*((Inputs!$B$6*Returns!B136)+(Inputs!$B$7*Returns!C136)+(Inputs!$B$8*Returns!D136)+(Inputs!$B$9*Returns!E136))</f>
        <v>692.52492072393454</v>
      </c>
    </row>
    <row r="137" spans="1:7" x14ac:dyDescent="0.4">
      <c r="A137" s="6">
        <v>45937</v>
      </c>
      <c r="B137" s="3">
        <f>(Prices!B137-Prices!B138)/Prices!B138</f>
        <v>-3.7075088220842587E-3</v>
      </c>
      <c r="C137" s="3">
        <f>(Prices!D137-Prices!D138)/Prices!D138</f>
        <v>-5.2656694805088694E-3</v>
      </c>
      <c r="D137" s="3">
        <f>(Prices!F137-Prices!F138)/Prices!F138</f>
        <v>1.7006802721088606E-3</v>
      </c>
      <c r="E137" s="3">
        <f>(Prices!H137-Prices!H138)/Prices!H138</f>
        <v>5.1594489269443863E-3</v>
      </c>
      <c r="G137" s="4">
        <f>Inputs!$B$1*((Inputs!$B$6*Returns!B137)+(Inputs!$B$7*Returns!C137)+(Inputs!$B$8*Returns!D137)+(Inputs!$B$9*Returns!E137))</f>
        <v>-185.83059382392668</v>
      </c>
    </row>
    <row r="138" spans="1:7" x14ac:dyDescent="0.4">
      <c r="A138" s="6">
        <v>45936</v>
      </c>
      <c r="B138" s="3">
        <f>(Prices!B138-Prices!B139)/Prices!B139</f>
        <v>3.5863181960819131E-3</v>
      </c>
      <c r="C138" s="3">
        <f>(Prices!D138-Prices!D139)/Prices!D139</f>
        <v>7.5101959614046997E-3</v>
      </c>
      <c r="D138" s="3">
        <f>(Prices!F138-Prices!F139)/Prices!F139</f>
        <v>-2.1960471151927837E-3</v>
      </c>
      <c r="E138" s="3">
        <f>(Prices!H138-Prices!H139)/Prices!H139</f>
        <v>1.88457666927637E-2</v>
      </c>
      <c r="G138" s="4">
        <f>Inputs!$B$1*((Inputs!$B$6*Returns!B138)+(Inputs!$B$7*Returns!C138)+(Inputs!$B$8*Returns!D138)+(Inputs!$B$9*Returns!E138))</f>
        <v>464.7641159262115</v>
      </c>
    </row>
    <row r="139" spans="1:7" x14ac:dyDescent="0.4">
      <c r="A139" s="6">
        <v>45933</v>
      </c>
      <c r="B139" s="3">
        <f>(Prices!B139-Prices!B140)/Prices!B140</f>
        <v>-1.4942769193973439E-5</v>
      </c>
      <c r="C139" s="3">
        <f>(Prices!D139-Prices!D140)/Prices!D140</f>
        <v>-4.209796443960293E-3</v>
      </c>
      <c r="D139" s="3">
        <f>(Prices!F139-Prices!F140)/Prices!F140</f>
        <v>-1.0968192242496702E-3</v>
      </c>
      <c r="E139" s="3">
        <f>(Prices!H139-Prices!H140)/Prices!H140</f>
        <v>8.0329208827756293E-3</v>
      </c>
      <c r="G139" s="4">
        <f>Inputs!$B$1*((Inputs!$B$6*Returns!B139)+(Inputs!$B$7*Returns!C139)+(Inputs!$B$8*Returns!D139)+(Inputs!$B$9*Returns!E139))</f>
        <v>-52.933893645251736</v>
      </c>
    </row>
    <row r="140" spans="1:7" x14ac:dyDescent="0.4">
      <c r="A140" s="6">
        <v>45932</v>
      </c>
      <c r="B140" s="3">
        <f>(Prices!B140-Prices!B141)/Prices!B141</f>
        <v>1.1519186176976314E-3</v>
      </c>
      <c r="C140" s="3">
        <f>(Prices!D140-Prices!D141)/Prices!D141</f>
        <v>4.1110650642354214E-3</v>
      </c>
      <c r="D140" s="3">
        <f>(Prices!F140-Prices!F141)/Prices!F141</f>
        <v>1.0980235575963209E-3</v>
      </c>
      <c r="E140" s="3">
        <f>(Prices!H140-Prices!H141)/Prices!H141</f>
        <v>-3.4828525686036354E-3</v>
      </c>
      <c r="G140" s="4">
        <f>Inputs!$B$1*((Inputs!$B$6*Returns!B140)+(Inputs!$B$7*Returns!C140)+(Inputs!$B$8*Returns!D140)+(Inputs!$B$9*Returns!E140))</f>
        <v>141.47543456766246</v>
      </c>
    </row>
    <row r="141" spans="1:7" x14ac:dyDescent="0.4">
      <c r="A141" s="6">
        <v>45931</v>
      </c>
      <c r="B141" s="3">
        <f>(Prices!B141-Prices!B142)/Prices!B142</f>
        <v>3.4074874658502141E-3</v>
      </c>
      <c r="C141" s="3">
        <f>(Prices!D141-Prices!D142)/Prices!D142</f>
        <v>4.797041824208397E-3</v>
      </c>
      <c r="D141" s="3">
        <f>(Prices!F141-Prices!F142)/Prices!F142</f>
        <v>-6.9825436408970753E-4</v>
      </c>
      <c r="E141" s="3">
        <f>(Prices!H141-Prices!H142)/Prices!H142</f>
        <v>1.5753790755899102E-3</v>
      </c>
      <c r="G141" s="4">
        <f>Inputs!$B$1*((Inputs!$B$6*Returns!B141)+(Inputs!$B$7*Returns!C141)+(Inputs!$B$8*Returns!D141)+(Inputs!$B$9*Returns!E141))</f>
        <v>254.52297589287494</v>
      </c>
    </row>
    <row r="142" spans="1:7" x14ac:dyDescent="0.4">
      <c r="A142" s="6">
        <v>45930</v>
      </c>
      <c r="B142" s="3">
        <f>(Prices!B142-Prices!B143)/Prices!B143</f>
        <v>3.7668756027000967E-3</v>
      </c>
      <c r="C142" s="3">
        <f>(Prices!D142-Prices!D143)/Prices!D143</f>
        <v>2.739131160957337E-3</v>
      </c>
      <c r="D142" s="3">
        <f>(Prices!F142-Prices!F143)/Prices!F143</f>
        <v>-9.9740674247008937E-5</v>
      </c>
      <c r="E142" s="3">
        <f>(Prices!H142-Prices!H143)/Prices!H143</f>
        <v>8.5399761675085065E-3</v>
      </c>
      <c r="G142" s="4">
        <f>Inputs!$B$1*((Inputs!$B$6*Returns!B142)+(Inputs!$B$7*Returns!C142)+(Inputs!$B$8*Returns!D142)+(Inputs!$B$9*Returns!E142))</f>
        <v>302.05954795084722</v>
      </c>
    </row>
    <row r="143" spans="1:7" x14ac:dyDescent="0.4">
      <c r="A143" s="6">
        <v>45929</v>
      </c>
      <c r="B143" s="3">
        <f>(Prices!B143-Prices!B144)/Prices!B144</f>
        <v>2.8104318394728172E-3</v>
      </c>
      <c r="C143" s="3">
        <f>(Prices!D143-Prices!D144)/Prices!D144</f>
        <v>4.631105592563369E-3</v>
      </c>
      <c r="D143" s="3">
        <f>(Prices!F143-Prices!F144)/Prices!F144</f>
        <v>1.8986709303488753E-3</v>
      </c>
      <c r="E143" s="3">
        <f>(Prices!H143-Prices!H144)/Prices!H144</f>
        <v>1.6496510353578964E-2</v>
      </c>
      <c r="G143" s="4">
        <f>Inputs!$B$1*((Inputs!$B$6*Returns!B143)+(Inputs!$B$7*Returns!C143)+(Inputs!$B$8*Returns!D143)+(Inputs!$B$9*Returns!E143))</f>
        <v>440.6267901875085</v>
      </c>
    </row>
    <row r="144" spans="1:7" x14ac:dyDescent="0.4">
      <c r="A144" s="6">
        <v>45926</v>
      </c>
      <c r="B144" s="3">
        <f>(Prices!B144-Prices!B145)/Prices!B145</f>
        <v>5.7290479446852E-3</v>
      </c>
      <c r="C144" s="3">
        <f>(Prices!D144-Prices!D145)/Prices!D145</f>
        <v>4.1109969167524045E-3</v>
      </c>
      <c r="D144" s="3">
        <f>(Prices!F144-Prices!F145)/Prices!F145</f>
        <v>6.999999999999318E-4</v>
      </c>
      <c r="E144" s="3">
        <f>(Prices!H144-Prices!H145)/Prices!H145</f>
        <v>5.7722987672226512E-3</v>
      </c>
      <c r="G144" s="4">
        <f>Inputs!$B$1*((Inputs!$B$6*Returns!B144)+(Inputs!$B$7*Returns!C144)+(Inputs!$B$8*Returns!D144)+(Inputs!$B$9*Returns!E144))</f>
        <v>407.15982837844291</v>
      </c>
    </row>
    <row r="145" spans="1:7" x14ac:dyDescent="0.4">
      <c r="A145" s="6">
        <v>45925</v>
      </c>
      <c r="B145" s="3">
        <f>(Prices!B145-Prices!B146)/Prices!B146</f>
        <v>-4.6135229163516379E-3</v>
      </c>
      <c r="C145" s="3">
        <f>(Prices!D145-Prices!D146)/Prices!D146</f>
        <v>-4.3113571548398753E-3</v>
      </c>
      <c r="D145" s="3">
        <f>(Prices!F145-Prices!F146)/Prices!F146</f>
        <v>-1.3980427401637764E-3</v>
      </c>
      <c r="E145" s="3">
        <f>(Prices!H145-Prices!H146)/Prices!H146</f>
        <v>4.1652102994291238E-3</v>
      </c>
      <c r="G145" s="4">
        <f>Inputs!$B$1*((Inputs!$B$6*Returns!B145)+(Inputs!$B$7*Returns!C145)+(Inputs!$B$8*Returns!D145)+(Inputs!$B$9*Returns!E145))</f>
        <v>-285.62381103486558</v>
      </c>
    </row>
    <row r="146" spans="1:7" x14ac:dyDescent="0.4">
      <c r="A146" s="6">
        <v>45924</v>
      </c>
      <c r="B146" s="3">
        <f>(Prices!B146-Prices!B147)/Prices!B147</f>
        <v>-3.1814960570558551E-3</v>
      </c>
      <c r="C146" s="3">
        <f>(Prices!D146-Prices!D147)/Prices!D147</f>
        <v>-3.5105315947843909E-3</v>
      </c>
      <c r="D146" s="3">
        <f>(Prices!F146-Prices!F147)/Prices!F147</f>
        <v>-1.8937506229442613E-3</v>
      </c>
      <c r="E146" s="3">
        <f>(Prices!H146-Prices!H147)/Prices!H147</f>
        <v>-9.0630953068174865E-3</v>
      </c>
      <c r="G146" s="4">
        <f>Inputs!$B$1*((Inputs!$B$6*Returns!B146)+(Inputs!$B$7*Returns!C146)+(Inputs!$B$8*Returns!D146)+(Inputs!$B$9*Returns!E146))</f>
        <v>-352.99785079362539</v>
      </c>
    </row>
    <row r="147" spans="1:7" x14ac:dyDescent="0.4">
      <c r="A147" s="6">
        <v>45923</v>
      </c>
      <c r="B147" s="3">
        <f>(Prices!B147-Prices!B148)/Prices!B148</f>
        <v>-5.4435846679863169E-3</v>
      </c>
      <c r="C147" s="3">
        <f>(Prices!D147-Prices!D148)/Prices!D148</f>
        <v>-6.6423115244104948E-3</v>
      </c>
      <c r="D147" s="3">
        <f>(Prices!F147-Prices!F148)/Prices!F148</f>
        <v>1.5972846161525067E-3</v>
      </c>
      <c r="E147" s="3">
        <f>(Prices!H147-Prices!H148)/Prices!H148</f>
        <v>4.086364295029613E-3</v>
      </c>
      <c r="G147" s="4">
        <f>Inputs!$B$1*((Inputs!$B$6*Returns!B147)+(Inputs!$B$7*Returns!C147)+(Inputs!$B$8*Returns!D147)+(Inputs!$B$9*Returns!E147))</f>
        <v>-303.00541647560624</v>
      </c>
    </row>
    <row r="148" spans="1:7" x14ac:dyDescent="0.4">
      <c r="A148" s="6">
        <v>45922</v>
      </c>
      <c r="B148" s="3">
        <f>(Prices!B148-Prices!B149)/Prices!B149</f>
        <v>4.731053186680708E-3</v>
      </c>
      <c r="C148" s="3">
        <f>(Prices!D148-Prices!D149)/Prices!D149</f>
        <v>4.755151414031906E-3</v>
      </c>
      <c r="D148" s="3">
        <f>(Prices!F148-Prices!F149)/Prices!F149</f>
        <v>-1.1965300628178736E-3</v>
      </c>
      <c r="E148" s="3">
        <f>(Prices!H148-Prices!H149)/Prices!H149</f>
        <v>1.7306444955480879E-2</v>
      </c>
      <c r="G148" s="4">
        <f>Inputs!$B$1*((Inputs!$B$6*Returns!B148)+(Inputs!$B$7*Returns!C148)+(Inputs!$B$8*Returns!D148)+(Inputs!$B$9*Returns!E148))</f>
        <v>451.27211080238789</v>
      </c>
    </row>
    <row r="149" spans="1:7" x14ac:dyDescent="0.4">
      <c r="A149" s="6">
        <v>45919</v>
      </c>
      <c r="B149" s="3">
        <f>(Prices!B149-Prices!B150)/Prices!B150</f>
        <v>2.174372602905286E-3</v>
      </c>
      <c r="C149" s="3">
        <f>(Prices!D149-Prices!D150)/Prices!D150</f>
        <v>6.769468521131446E-3</v>
      </c>
      <c r="D149" s="3">
        <f>(Prices!F149-Prices!F150)/Prices!F150</f>
        <v>0</v>
      </c>
      <c r="E149" s="3">
        <f>(Prices!H149-Prices!H150)/Prices!H150</f>
        <v>1.0607234372206668E-2</v>
      </c>
      <c r="G149" s="4">
        <f>Inputs!$B$1*((Inputs!$B$6*Returns!B149)+(Inputs!$B$7*Returns!C149)+(Inputs!$B$8*Returns!D149)+(Inputs!$B$9*Returns!E149))</f>
        <v>362.28396086656431</v>
      </c>
    </row>
    <row r="150" spans="1:7" x14ac:dyDescent="0.4">
      <c r="A150" s="6">
        <v>45918</v>
      </c>
      <c r="B150" s="3">
        <f>(Prices!B150-Prices!B151)/Prices!B151</f>
        <v>4.6724718589763667E-3</v>
      </c>
      <c r="C150" s="3">
        <f>(Prices!D150-Prices!D151)/Prices!D151</f>
        <v>9.0169491525424576E-3</v>
      </c>
      <c r="D150" s="3">
        <f>(Prices!F150-Prices!F151)/Prices!F151</f>
        <v>-2.7841304563983988E-3</v>
      </c>
      <c r="E150" s="3">
        <f>(Prices!H150-Prices!H151)/Prices!H151</f>
        <v>-4.0062913612488428E-3</v>
      </c>
      <c r="G150" s="4">
        <f>Inputs!$B$1*((Inputs!$B$6*Returns!B150)+(Inputs!$B$7*Returns!C150)+(Inputs!$B$8*Returns!D150)+(Inputs!$B$9*Returns!E150))</f>
        <v>302.6564281501677</v>
      </c>
    </row>
    <row r="151" spans="1:7" x14ac:dyDescent="0.4">
      <c r="A151" s="6">
        <v>45917</v>
      </c>
      <c r="B151" s="3">
        <f>(Prices!B151-Prices!B152)/Prices!B152</f>
        <v>-1.2424242424243183E-3</v>
      </c>
      <c r="C151" s="3">
        <f>(Prices!D151-Prices!D152)/Prices!D152</f>
        <v>-1.9960079840318518E-3</v>
      </c>
      <c r="D151" s="3">
        <f>(Prices!F151-Prices!F152)/Prices!F152</f>
        <v>-1.7866004962779833E-3</v>
      </c>
      <c r="E151" s="3">
        <f>(Prices!H151-Prices!H152)/Prices!H152</f>
        <v>-7.7151859595392912E-3</v>
      </c>
      <c r="G151" s="4">
        <f>Inputs!$B$1*((Inputs!$B$6*Returns!B151)+(Inputs!$B$7*Returns!C151)+(Inputs!$B$8*Returns!D151)+(Inputs!$B$9*Returns!E151))</f>
        <v>-221.41404130011153</v>
      </c>
    </row>
    <row r="152" spans="1:7" x14ac:dyDescent="0.4">
      <c r="A152" s="6">
        <v>45916</v>
      </c>
      <c r="B152" s="3">
        <f>(Prices!B152-Prices!B153)/Prices!B153</f>
        <v>-1.3768894403170904E-3</v>
      </c>
      <c r="C152" s="3">
        <f>(Prices!D152-Prices!D153)/Prices!D153</f>
        <v>-8.4505137912385079E-4</v>
      </c>
      <c r="D152" s="3">
        <f>(Prices!F152-Prices!F153)/Prices!F153</f>
        <v>3.971800218449633E-4</v>
      </c>
      <c r="E152" s="3">
        <f>(Prices!H152-Prices!H153)/Prices!H153</f>
        <v>2.0064323861790738E-3</v>
      </c>
      <c r="G152" s="4">
        <f>Inputs!$B$1*((Inputs!$B$6*Returns!B152)+(Inputs!$B$7*Returns!C152)+(Inputs!$B$8*Returns!D152)+(Inputs!$B$9*Returns!E152))</f>
        <v>-46.208037682865069</v>
      </c>
    </row>
    <row r="153" spans="1:7" x14ac:dyDescent="0.4">
      <c r="A153" s="6">
        <v>45915</v>
      </c>
      <c r="B153" s="3">
        <f>(Prices!B153-Prices!B154)/Prices!B154</f>
        <v>5.3239226662204712E-3</v>
      </c>
      <c r="C153" s="3">
        <f>(Prices!D153-Prices!D154)/Prices!D154</f>
        <v>8.5569154194933723E-3</v>
      </c>
      <c r="D153" s="3">
        <f>(Prices!F153-Prices!F154)/Prices!F154</f>
        <v>1.6908693057488312E-3</v>
      </c>
      <c r="E153" s="3">
        <f>(Prices!H153-Prices!H154)/Prices!H154</f>
        <v>1.0404865541708929E-2</v>
      </c>
      <c r="G153" s="4">
        <f>Inputs!$B$1*((Inputs!$B$6*Returns!B153)+(Inputs!$B$7*Returns!C153)+(Inputs!$B$8*Returns!D153)+(Inputs!$B$9*Returns!E153))</f>
        <v>573.20018019696317</v>
      </c>
    </row>
    <row r="154" spans="1:7" x14ac:dyDescent="0.4">
      <c r="A154" s="6">
        <v>45912</v>
      </c>
      <c r="B154" s="3">
        <f>(Prices!B154-Prices!B155)/Prices!B155</f>
        <v>-3.3453461672981353E-4</v>
      </c>
      <c r="C154" s="3">
        <f>(Prices!D154-Prices!D155)/Prices!D155</f>
        <v>4.4172031228597577E-3</v>
      </c>
      <c r="D154" s="3">
        <f>(Prices!F154-Prices!F155)/Prices!F155</f>
        <v>-8.9436549736648322E-4</v>
      </c>
      <c r="E154" s="3">
        <f>(Prices!H154-Prices!H155)/Prices!H155</f>
        <v>1.9715617158562104E-3</v>
      </c>
      <c r="G154" s="4">
        <f>Inputs!$B$1*((Inputs!$B$6*Returns!B154)+(Inputs!$B$7*Returns!C154)+(Inputs!$B$8*Returns!D154)+(Inputs!$B$9*Returns!E154))</f>
        <v>94.405173126701413</v>
      </c>
    </row>
    <row r="155" spans="1:7" x14ac:dyDescent="0.4">
      <c r="A155" s="6">
        <v>45911</v>
      </c>
      <c r="B155" s="3">
        <f>(Prices!B155-Prices!B156)/Prices!B156</f>
        <v>8.3102068352217204E-3</v>
      </c>
      <c r="C155" s="3">
        <f>(Prices!D155-Prices!D156)/Prices!D156</f>
        <v>5.8205613914241346E-3</v>
      </c>
      <c r="D155" s="3">
        <f>(Prices!F155-Prices!F156)/Prices!F156</f>
        <v>1.8916766228593959E-3</v>
      </c>
      <c r="E155" s="3">
        <f>(Prices!H155-Prices!H156)/Prices!H156</f>
        <v>-1.4913798246137327E-3</v>
      </c>
      <c r="G155" s="4">
        <f>Inputs!$B$1*((Inputs!$B$6*Returns!B155)+(Inputs!$B$7*Returns!C155)+(Inputs!$B$8*Returns!D155)+(Inputs!$B$9*Returns!E155))</f>
        <v>510.30042551981973</v>
      </c>
    </row>
    <row r="156" spans="1:7" x14ac:dyDescent="0.4">
      <c r="A156" s="6">
        <v>45910</v>
      </c>
      <c r="B156" s="3">
        <f>(Prices!B156-Prices!B157)/Prices!B157</f>
        <v>2.8908400350591166E-3</v>
      </c>
      <c r="C156" s="3">
        <f>(Prices!D156-Prices!D157)/Prices!D157</f>
        <v>3.2729841001887059E-4</v>
      </c>
      <c r="D156" s="3">
        <f>(Prices!F156-Prices!F157)/Prices!F157</f>
        <v>1.9952114924182249E-3</v>
      </c>
      <c r="E156" s="3">
        <f>(Prices!H156-Prices!H157)/Prices!H157</f>
        <v>3.5921690714242611E-3</v>
      </c>
      <c r="G156" s="4">
        <f>Inputs!$B$1*((Inputs!$B$6*Returns!B156)+(Inputs!$B$7*Returns!C156)+(Inputs!$B$8*Returns!D156)+(Inputs!$B$9*Returns!E156))</f>
        <v>209.61803967753465</v>
      </c>
    </row>
    <row r="157" spans="1:7" x14ac:dyDescent="0.4">
      <c r="A157" s="6">
        <v>45909</v>
      </c>
      <c r="B157" s="3">
        <f>(Prices!B157-Prices!B158)/Prices!B158</f>
        <v>2.3118536442519612E-3</v>
      </c>
      <c r="C157" s="3">
        <f>(Prices!D157-Prices!D158)/Prices!D158</f>
        <v>2.8331058786946746E-3</v>
      </c>
      <c r="D157" s="3">
        <f>(Prices!F157-Prices!F158)/Prices!F158</f>
        <v>-1.9912385503783638E-3</v>
      </c>
      <c r="E157" s="3">
        <f>(Prices!H157-Prices!H158)/Prices!H158</f>
        <v>-2.269876351472406E-3</v>
      </c>
      <c r="G157" s="4">
        <f>Inputs!$B$1*((Inputs!$B$6*Returns!B157)+(Inputs!$B$7*Returns!C157)+(Inputs!$B$8*Returns!D157)+(Inputs!$B$9*Returns!E157))</f>
        <v>90.822065463262177</v>
      </c>
    </row>
    <row r="158" spans="1:7" x14ac:dyDescent="0.4">
      <c r="A158" s="6">
        <v>45908</v>
      </c>
      <c r="B158" s="3">
        <f>(Prices!B158-Prices!B159)/Prices!B159</f>
        <v>2.4565848835053951E-3</v>
      </c>
      <c r="C158" s="3">
        <f>(Prices!D158-Prices!D159)/Prices!D159</f>
        <v>4.8779641009618086E-3</v>
      </c>
      <c r="D158" s="3">
        <f>(Prices!F158-Prices!F159)/Prices!F159</f>
        <v>3.3966033966034309E-3</v>
      </c>
      <c r="E158" s="3">
        <f>(Prices!H158-Prices!H159)/Prices!H159</f>
        <v>1.1388007853798465E-2</v>
      </c>
      <c r="G158" s="4">
        <f>Inputs!$B$1*((Inputs!$B$6*Returns!B158)+(Inputs!$B$7*Returns!C158)+(Inputs!$B$8*Returns!D158)+(Inputs!$B$9*Returns!E158))</f>
        <v>419.00766131733144</v>
      </c>
    </row>
    <row r="159" spans="1:7" x14ac:dyDescent="0.4">
      <c r="A159" s="6">
        <v>45905</v>
      </c>
      <c r="B159" s="3">
        <f>(Prices!B159-Prices!B160)/Prices!B160</f>
        <v>-2.8962287404486003E-3</v>
      </c>
      <c r="C159" s="3">
        <f>(Prices!D159-Prices!D160)/Prices!D160</f>
        <v>1.442901100429267E-3</v>
      </c>
      <c r="D159" s="3">
        <f>(Prices!F159-Prices!F160)/Prices!F160</f>
        <v>4.7174545819532159E-3</v>
      </c>
      <c r="E159" s="3">
        <f>(Prices!H159-Prices!H160)/Prices!H160</f>
        <v>1.3345985490832329E-2</v>
      </c>
      <c r="G159" s="4">
        <f>Inputs!$B$1*((Inputs!$B$6*Returns!B159)+(Inputs!$B$7*Returns!C159)+(Inputs!$B$8*Returns!D159)+(Inputs!$B$9*Returns!E159))</f>
        <v>171.61959734994136</v>
      </c>
    </row>
    <row r="160" spans="1:7" x14ac:dyDescent="0.4">
      <c r="A160" s="6">
        <v>45904</v>
      </c>
      <c r="B160" s="3">
        <f>(Prices!B160-Prices!B161)/Prices!B161</f>
        <v>8.3574113772641057E-3</v>
      </c>
      <c r="C160" s="3">
        <f>(Prices!D160-Prices!D161)/Prices!D161</f>
        <v>9.0515199887732517E-3</v>
      </c>
      <c r="D160" s="3">
        <f>(Prices!F160-Prices!F161)/Prices!F161</f>
        <v>4.0310390003022419E-3</v>
      </c>
      <c r="E160" s="3">
        <f>(Prices!H160-Prices!H161)/Prices!H161</f>
        <v>-4.4188456146766275E-3</v>
      </c>
      <c r="G160" s="4">
        <f>Inputs!$B$1*((Inputs!$B$6*Returns!B160)+(Inputs!$B$7*Returns!C160)+(Inputs!$B$8*Returns!D160)+(Inputs!$B$9*Returns!E160))</f>
        <v>617.17197367068525</v>
      </c>
    </row>
    <row r="161" spans="1:7" x14ac:dyDescent="0.4">
      <c r="A161" s="6">
        <v>45903</v>
      </c>
      <c r="B161" s="3">
        <f>(Prices!B161-Prices!B162)/Prices!B162</f>
        <v>5.419588611054754E-3</v>
      </c>
      <c r="C161" s="3">
        <f>(Prices!D161-Prices!D162)/Prices!D162</f>
        <v>7.8674728616386358E-3</v>
      </c>
      <c r="D161" s="3">
        <f>(Prices!F161-Prices!F162)/Prices!F162</f>
        <v>3.6411449377971015E-3</v>
      </c>
      <c r="E161" s="3">
        <f>(Prices!H161-Prices!H162)/Prices!H162</f>
        <v>7.8319358702663208E-3</v>
      </c>
      <c r="G161" s="4">
        <f>Inputs!$B$1*((Inputs!$B$6*Returns!B161)+(Inputs!$B$7*Returns!C161)+(Inputs!$B$8*Returns!D161)+(Inputs!$B$9*Returns!E161))</f>
        <v>582.81834813074681</v>
      </c>
    </row>
    <row r="162" spans="1:7" x14ac:dyDescent="0.4">
      <c r="A162" s="6">
        <v>45902</v>
      </c>
      <c r="B162" s="3">
        <f>(Prices!B162-Prices!B163)/Prices!B163</f>
        <v>-7.4102782730020508E-3</v>
      </c>
      <c r="C162" s="3">
        <f>(Prices!D162-Prices!D163)/Prices!D163</f>
        <v>-8.380084151472603E-3</v>
      </c>
      <c r="D162" s="3">
        <f>(Prices!F162-Prices!F163)/Prices!F163</f>
        <v>-5.9320329780815327E-3</v>
      </c>
      <c r="E162" s="3">
        <f>(Prices!H162-Prices!H163)/Prices!H163</f>
        <v>2.3642594397459624E-2</v>
      </c>
      <c r="G162" s="4">
        <f>Inputs!$B$1*((Inputs!$B$6*Returns!B162)+(Inputs!$B$7*Returns!C162)+(Inputs!$B$8*Returns!D162)+(Inputs!$B$9*Returns!E162))</f>
        <v>-417.78811518433923</v>
      </c>
    </row>
    <row r="163" spans="1:7" x14ac:dyDescent="0.4">
      <c r="A163" s="6">
        <v>45898</v>
      </c>
      <c r="B163" s="3">
        <f>(Prices!B163-Prices!B164)/Prices!B164</f>
        <v>-5.9637551624237266E-3</v>
      </c>
      <c r="C163" s="3">
        <f>(Prices!D163-Prices!D164)/Prices!D164</f>
        <v>-1.1575518125736576E-2</v>
      </c>
      <c r="D163" s="3">
        <f>(Prices!F163-Prices!F164)/Prices!F164</f>
        <v>-1.3053519429662582E-3</v>
      </c>
      <c r="E163" s="3">
        <f>(Prices!H163-Prices!H164)/Prices!H164</f>
        <v>9.6498746151160858E-3</v>
      </c>
      <c r="G163" s="4">
        <f>Inputs!$B$1*((Inputs!$B$6*Returns!B163)+(Inputs!$B$7*Returns!C163)+(Inputs!$B$8*Returns!D163)+(Inputs!$B$9*Returns!E163))</f>
        <v>-464.07321206335899</v>
      </c>
    </row>
    <row r="164" spans="1:7" x14ac:dyDescent="0.4">
      <c r="A164" s="6">
        <v>45897</v>
      </c>
      <c r="B164" s="3">
        <f>(Prices!B164-Prices!B165)/Prices!B165</f>
        <v>3.5414379165828428E-3</v>
      </c>
      <c r="C164" s="3">
        <f>(Prices!D164-Prices!D165)/Prices!D165</f>
        <v>6.2599173481665445E-3</v>
      </c>
      <c r="D164" s="3">
        <f>(Prices!F164-Prices!F165)/Prices!F165</f>
        <v>1.2063938876043486E-3</v>
      </c>
      <c r="E164" s="3">
        <f>(Prices!H164-Prices!H165)/Prices!H165</f>
        <v>7.4190144223081874E-3</v>
      </c>
      <c r="G164" s="4">
        <f>Inputs!$B$1*((Inputs!$B$6*Returns!B164)+(Inputs!$B$7*Returns!C164)+(Inputs!$B$8*Returns!D164)+(Inputs!$B$9*Returns!E164))</f>
        <v>402.50544178066792</v>
      </c>
    </row>
    <row r="165" spans="1:7" x14ac:dyDescent="0.4">
      <c r="A165" s="6">
        <v>45896</v>
      </c>
      <c r="B165" s="3">
        <f>(Prices!B165-Prices!B166)/Prices!B166</f>
        <v>2.2785045570091565E-3</v>
      </c>
      <c r="C165" s="3">
        <f>(Prices!D165-Prices!D166)/Prices!D166</f>
        <v>1.5368226192347242E-3</v>
      </c>
      <c r="D165" s="3">
        <f>(Prices!F165-Prices!F166)/Prices!F166</f>
        <v>1.0063399416322262E-3</v>
      </c>
      <c r="E165" s="3">
        <f>(Prices!H165-Prices!H166)/Prices!H166</f>
        <v>2.018713150474223E-3</v>
      </c>
      <c r="G165" s="4">
        <f>Inputs!$B$1*((Inputs!$B$6*Returns!B165)+(Inputs!$B$7*Returns!C165)+(Inputs!$B$8*Returns!D165)+(Inputs!$B$9*Returns!E165))</f>
        <v>174.90637780678225</v>
      </c>
    </row>
    <row r="166" spans="1:7" x14ac:dyDescent="0.4">
      <c r="A166" s="6">
        <v>45895</v>
      </c>
      <c r="B166" s="3">
        <f>(Prices!B166-Prices!B167)/Prices!B167</f>
        <v>4.1869659283701038E-3</v>
      </c>
      <c r="C166" s="3">
        <f>(Prices!D166-Prices!D167)/Prices!D167</f>
        <v>4.0152896619441072E-3</v>
      </c>
      <c r="D166" s="3">
        <f>(Prices!F166-Prices!F167)/Prices!F167</f>
        <v>1.2090680100756126E-3</v>
      </c>
      <c r="E166" s="3">
        <f>(Prices!H166-Prices!H167)/Prices!H167</f>
        <v>7.2620469289610438E-3</v>
      </c>
      <c r="G166" s="4">
        <f>Inputs!$B$1*((Inputs!$B$6*Returns!B166)+(Inputs!$B$7*Returns!C166)+(Inputs!$B$8*Returns!D166)+(Inputs!$B$9*Returns!E166))</f>
        <v>370.7080482249076</v>
      </c>
    </row>
    <row r="167" spans="1:7" x14ac:dyDescent="0.4">
      <c r="A167" s="6">
        <v>45894</v>
      </c>
      <c r="B167" s="3">
        <f>(Prices!B167-Prices!B168)/Prices!B168</f>
        <v>-4.4009855728253371E-3</v>
      </c>
      <c r="C167" s="3">
        <f>(Prices!D167-Prices!D168)/Prices!D168</f>
        <v>-2.88476668356728E-3</v>
      </c>
      <c r="D167" s="3">
        <f>(Prices!F167-Prices!F168)/Prices!F168</f>
        <v>-1.5090543259557916E-3</v>
      </c>
      <c r="E167" s="3">
        <f>(Prices!H167-Prices!H168)/Prices!H168</f>
        <v>-2.4148367570352245E-3</v>
      </c>
      <c r="G167" s="4">
        <f>Inputs!$B$1*((Inputs!$B$6*Returns!B167)+(Inputs!$B$7*Returns!C167)+(Inputs!$B$8*Returns!D167)+(Inputs!$B$9*Returns!E167))</f>
        <v>-310.03331572144253</v>
      </c>
    </row>
    <row r="168" spans="1:7" x14ac:dyDescent="0.4">
      <c r="A168" s="6">
        <v>45891</v>
      </c>
      <c r="B168" s="3">
        <f>(Prices!B168-Prices!B169)/Prices!B169</f>
        <v>1.5356777594209727E-2</v>
      </c>
      <c r="C168" s="3">
        <f>(Prices!D168-Prices!D169)/Prices!D169</f>
        <v>1.5427496094304884E-2</v>
      </c>
      <c r="D168" s="3">
        <f>(Prices!F168-Prices!F169)/Prices!F169</f>
        <v>5.5639858371270756E-3</v>
      </c>
      <c r="E168" s="3">
        <f>(Prices!H168-Prices!H169)/Prices!H169</f>
        <v>1.070649874711173E-2</v>
      </c>
      <c r="G168" s="4">
        <f>Inputs!$B$1*((Inputs!$B$6*Returns!B168)+(Inputs!$B$7*Returns!C168)+(Inputs!$B$8*Returns!D168)+(Inputs!$B$9*Returns!E168))</f>
        <v>1246.1231395253053</v>
      </c>
    </row>
    <row r="169" spans="1:7" x14ac:dyDescent="0.4">
      <c r="A169" s="6">
        <v>45890</v>
      </c>
      <c r="B169" s="3">
        <f>(Prices!B169-Prices!B170)/Prices!B170</f>
        <v>-4.0118474871104655E-3</v>
      </c>
      <c r="C169" s="3">
        <f>(Prices!D169-Prices!D170)/Prices!D170</f>
        <v>-4.6297932496907664E-3</v>
      </c>
      <c r="D169" s="3">
        <f>(Prices!F169-Prices!F170)/Prices!F170</f>
        <v>-2.3213564796124744E-3</v>
      </c>
      <c r="E169" s="3">
        <f>(Prices!H169-Prices!H170)/Prices!H170</f>
        <v>-3.4699701647424863E-3</v>
      </c>
      <c r="G169" s="4">
        <f>Inputs!$B$1*((Inputs!$B$6*Returns!B169)+(Inputs!$B$7*Returns!C169)+(Inputs!$B$8*Returns!D169)+(Inputs!$B$9*Returns!E169))</f>
        <v>-368.9523443644245</v>
      </c>
    </row>
    <row r="170" spans="1:7" x14ac:dyDescent="0.4">
      <c r="A170" s="6">
        <v>45889</v>
      </c>
      <c r="B170" s="3">
        <f>(Prices!B170-Prices!B171)/Prices!B171</f>
        <v>-2.6570388083961361E-3</v>
      </c>
      <c r="C170" s="3">
        <f>(Prices!D170-Prices!D171)/Prices!D171</f>
        <v>-5.9373243395165745E-3</v>
      </c>
      <c r="D170" s="3">
        <f>(Prices!F170-Prices!F171)/Prices!F171</f>
        <v>6.05938194304204E-4</v>
      </c>
      <c r="E170" s="3">
        <f>(Prices!H170-Prices!H171)/Prices!H171</f>
        <v>1.0122186916500252E-2</v>
      </c>
      <c r="G170" s="4">
        <f>Inputs!$B$1*((Inputs!$B$6*Returns!B170)+(Inputs!$B$7*Returns!C170)+(Inputs!$B$8*Returns!D170)+(Inputs!$B$9*Returns!E170))</f>
        <v>-138.3443368011522</v>
      </c>
    </row>
    <row r="171" spans="1:7" x14ac:dyDescent="0.4">
      <c r="A171" s="6">
        <v>45888</v>
      </c>
      <c r="B171" s="3">
        <f>(Prices!B171-Prices!B172)/Prices!B172</f>
        <v>-5.4251515622571259E-3</v>
      </c>
      <c r="C171" s="3">
        <f>(Prices!D171-Prices!D172)/Prices!D172</f>
        <v>-1.3567604096272879E-2</v>
      </c>
      <c r="D171" s="3">
        <f>(Prices!F171-Prices!F172)/Prices!F172</f>
        <v>1.9224931700900305E-3</v>
      </c>
      <c r="E171" s="3">
        <f>(Prices!H171-Prices!H172)/Prices!H172</f>
        <v>-5.4732041049031007E-3</v>
      </c>
      <c r="G171" s="4">
        <f>Inputs!$B$1*((Inputs!$B$6*Returns!B171)+(Inputs!$B$7*Returns!C171)+(Inputs!$B$8*Returns!D171)+(Inputs!$B$9*Returns!E171))</f>
        <v>-562.86587669388723</v>
      </c>
    </row>
    <row r="172" spans="1:7" x14ac:dyDescent="0.4">
      <c r="A172" s="6">
        <v>45887</v>
      </c>
      <c r="B172" s="3">
        <f>(Prices!B172-Prices!B173)/Prices!B173</f>
        <v>-2.1758050478692657E-4</v>
      </c>
      <c r="C172" s="3">
        <f>(Prices!D172-Prices!D173)/Prices!D173</f>
        <v>-3.9837877160774966E-4</v>
      </c>
      <c r="D172" s="3">
        <f>(Prices!F172-Prices!F173)/Prices!F173</f>
        <v>-1.1117849201536228E-3</v>
      </c>
      <c r="E172" s="3">
        <f>(Prices!H172-Prices!H173)/Prices!H173</f>
        <v>-1.5613310347071469E-3</v>
      </c>
      <c r="G172" s="4">
        <f>Inputs!$B$1*((Inputs!$B$6*Returns!B172)+(Inputs!$B$7*Returns!C172)+(Inputs!$B$8*Returns!D172)+(Inputs!$B$9*Returns!E172))</f>
        <v>-62.070622832582849</v>
      </c>
    </row>
    <row r="173" spans="1:7" x14ac:dyDescent="0.4">
      <c r="A173" s="6">
        <v>45884</v>
      </c>
      <c r="B173" s="3">
        <f>(Prices!B173-Prices!B174)/Prices!B174</f>
        <v>-2.3412667648654794E-3</v>
      </c>
      <c r="C173" s="3">
        <f>(Prices!D173-Prices!D174)/Prices!D174</f>
        <v>-4.3973857110830581E-3</v>
      </c>
      <c r="D173" s="3">
        <f>(Prices!F173-Prices!F174)/Prices!F174</f>
        <v>-1.513775355737266E-3</v>
      </c>
      <c r="E173" s="3">
        <f>(Prices!H173-Prices!H174)/Prices!H174</f>
        <v>5.8584214808789854E-4</v>
      </c>
      <c r="G173" s="4">
        <f>Inputs!$B$1*((Inputs!$B$6*Returns!B173)+(Inputs!$B$7*Returns!C173)+(Inputs!$B$8*Returns!D173)+(Inputs!$B$9*Returns!E173))</f>
        <v>-235.57127578424834</v>
      </c>
    </row>
    <row r="174" spans="1:7" x14ac:dyDescent="0.4">
      <c r="A174" s="6">
        <v>45883</v>
      </c>
      <c r="B174" s="3">
        <f>(Prices!B174-Prices!B175)/Prices!B175</f>
        <v>9.3039122951292649E-5</v>
      </c>
      <c r="C174" s="3">
        <f>(Prices!D174-Prices!D175)/Prices!D175</f>
        <v>-7.7540751972989192E-4</v>
      </c>
      <c r="D174" s="3">
        <f>(Prices!F174-Prices!F175)/Prices!F175</f>
        <v>-2.8177518365704048E-3</v>
      </c>
      <c r="E174" s="3">
        <f>(Prices!H174-Prices!H175)/Prices!H175</f>
        <v>-6.3387341935900506E-3</v>
      </c>
      <c r="G174" s="4">
        <f>Inputs!$B$1*((Inputs!$B$6*Returns!B174)+(Inputs!$B$7*Returns!C174)+(Inputs!$B$8*Returns!D174)+(Inputs!$B$9*Returns!E174))</f>
        <v>-149.49476092535622</v>
      </c>
    </row>
    <row r="175" spans="1:7" x14ac:dyDescent="0.4">
      <c r="A175" s="6">
        <v>45882</v>
      </c>
      <c r="B175" s="3">
        <f>(Prices!B175-Prices!B176)/Prices!B176</f>
        <v>3.4231122314022804E-3</v>
      </c>
      <c r="C175" s="3">
        <f>(Prices!D175-Prices!D176)/Prices!D176</f>
        <v>4.9995690026735163E-4</v>
      </c>
      <c r="D175" s="3">
        <f>(Prices!F175-Prices!F176)/Prices!F176</f>
        <v>3.63599636400363E-3</v>
      </c>
      <c r="E175" s="3">
        <f>(Prices!H175-Prices!H176)/Prices!H176</f>
        <v>3.0492749862133773E-3</v>
      </c>
      <c r="G175" s="4">
        <f>Inputs!$B$1*((Inputs!$B$6*Returns!B175)+(Inputs!$B$7*Returns!C175)+(Inputs!$B$8*Returns!D175)+(Inputs!$B$9*Returns!E175))</f>
        <v>270.81607072499952</v>
      </c>
    </row>
    <row r="176" spans="1:7" x14ac:dyDescent="0.4">
      <c r="A176" s="6">
        <v>45881</v>
      </c>
      <c r="B176" s="3">
        <f>(Prices!B176-Prices!B177)/Prices!B177</f>
        <v>1.0645993206692817E-2</v>
      </c>
      <c r="C176" s="3">
        <f>(Prices!D176-Prices!D177)/Prices!D177</f>
        <v>1.2568735271013235E-2</v>
      </c>
      <c r="D176" s="3">
        <f>(Prices!F176-Prices!F177)/Prices!F177</f>
        <v>0</v>
      </c>
      <c r="E176" s="3">
        <f>(Prices!H176-Prices!H177)/Prices!H177</f>
        <v>-9.0747042618709946E-4</v>
      </c>
      <c r="G176" s="4">
        <f>Inputs!$B$1*((Inputs!$B$6*Returns!B176)+(Inputs!$B$7*Returns!C176)+(Inputs!$B$8*Returns!D176)+(Inputs!$B$9*Returns!E176))</f>
        <v>730.98340578117256</v>
      </c>
    </row>
    <row r="177" spans="1:7" x14ac:dyDescent="0.4">
      <c r="A177" s="6">
        <v>45880</v>
      </c>
      <c r="B177" s="3">
        <f>(Prices!B177-Prices!B178)/Prices!B178</f>
        <v>-1.9774631972127046E-3</v>
      </c>
      <c r="C177" s="3">
        <f>(Prices!D177-Prices!D178)/Prices!D178</f>
        <v>-2.9588373509702062E-3</v>
      </c>
      <c r="D177" s="3">
        <f>(Prices!F177-Prices!F178)/Prices!F178</f>
        <v>7.0749949464329279E-4</v>
      </c>
      <c r="E177" s="3">
        <f>(Prices!H177-Prices!H178)/Prices!H178</f>
        <v>-1.4374700527072352E-2</v>
      </c>
      <c r="G177" s="4">
        <f>Inputs!$B$1*((Inputs!$B$6*Returns!B177)+(Inputs!$B$7*Returns!C177)+(Inputs!$B$8*Returns!D177)+(Inputs!$B$9*Returns!E177))</f>
        <v>-279.12897956740454</v>
      </c>
    </row>
    <row r="178" spans="1:7" x14ac:dyDescent="0.4">
      <c r="A178" s="6">
        <v>45877</v>
      </c>
      <c r="B178" s="3">
        <f>(Prices!B178-Prices!B179)/Prices!B179</f>
        <v>7.7975484381177544E-3</v>
      </c>
      <c r="C178" s="3">
        <f>(Prices!D178-Prices!D179)/Prices!D179</f>
        <v>9.3282271098305558E-3</v>
      </c>
      <c r="D178" s="3">
        <f>(Prices!F178-Prices!F179)/Prices!F179</f>
        <v>-1.9166750731362627E-3</v>
      </c>
      <c r="E178" s="3">
        <f>(Prices!H178-Prices!H179)/Prices!H179</f>
        <v>-2.2355646397545089E-4</v>
      </c>
      <c r="G178" s="4">
        <f>Inputs!$B$1*((Inputs!$B$6*Returns!B178)+(Inputs!$B$7*Returns!C178)+(Inputs!$B$8*Returns!D178)+(Inputs!$B$9*Returns!E178))</f>
        <v>494.95517380231297</v>
      </c>
    </row>
    <row r="179" spans="1:7" x14ac:dyDescent="0.4">
      <c r="A179" s="6">
        <v>45876</v>
      </c>
      <c r="B179" s="3">
        <f>(Prices!B179-Prices!B180)/Prices!B180</f>
        <v>-8.37573880337515E-4</v>
      </c>
      <c r="C179" s="3">
        <f>(Prices!D179-Prices!D180)/Prices!D180</f>
        <v>3.3843333568355761E-3</v>
      </c>
      <c r="D179" s="3">
        <f>(Prices!F179-Prices!F180)/Prices!F180</f>
        <v>-8.0637032557200181E-4</v>
      </c>
      <c r="E179" s="3">
        <f>(Prices!H179-Prices!H180)/Prices!H180</f>
        <v>8.438003220611931E-3</v>
      </c>
      <c r="G179" s="4">
        <f>Inputs!$B$1*((Inputs!$B$6*Returns!B179)+(Inputs!$B$7*Returns!C179)+(Inputs!$B$8*Returns!D179)+(Inputs!$B$9*Returns!E179))</f>
        <v>115.32615277420805</v>
      </c>
    </row>
    <row r="180" spans="1:7" x14ac:dyDescent="0.4">
      <c r="A180" s="6">
        <v>45875</v>
      </c>
      <c r="B180" s="3">
        <f>(Prices!B180-Prices!B181)/Prices!B181</f>
        <v>7.6596015733234792E-3</v>
      </c>
      <c r="C180" s="3">
        <f>(Prices!D180-Prices!D181)/Prices!D181</f>
        <v>1.2583218805219034E-2</v>
      </c>
      <c r="D180" s="3">
        <f>(Prices!F180-Prices!F181)/Prices!F181</f>
        <v>-4.0302267002525192E-4</v>
      </c>
      <c r="E180" s="3">
        <f>(Prices!H180-Prices!H181)/Prices!H181</f>
        <v>-2.1210952564597796E-3</v>
      </c>
      <c r="G180" s="4">
        <f>Inputs!$B$1*((Inputs!$B$6*Returns!B180)+(Inputs!$B$7*Returns!C180)+(Inputs!$B$8*Returns!D180)+(Inputs!$B$9*Returns!E180))</f>
        <v>589.67801374818578</v>
      </c>
    </row>
    <row r="181" spans="1:7" x14ac:dyDescent="0.4">
      <c r="A181" s="6">
        <v>45874</v>
      </c>
      <c r="B181" s="3">
        <f>(Prices!B181-Prices!B182)/Prices!B182</f>
        <v>-5.0699494589412234E-3</v>
      </c>
      <c r="C181" s="3">
        <f>(Prices!D181-Prices!D182)/Prices!D182</f>
        <v>-6.7895763162560555E-3</v>
      </c>
      <c r="D181" s="3">
        <f>(Prices!F181-Prices!F182)/Prices!F182</f>
        <v>3.0235839548479278E-4</v>
      </c>
      <c r="E181" s="3">
        <f>(Prices!H181-Prices!H182)/Prices!H182</f>
        <v>8.0409121610755519E-4</v>
      </c>
      <c r="G181" s="4">
        <f>Inputs!$B$1*((Inputs!$B$6*Returns!B181)+(Inputs!$B$7*Returns!C181)+(Inputs!$B$8*Returns!D181)+(Inputs!$B$9*Returns!E181))</f>
        <v>-356.93751421585495</v>
      </c>
    </row>
    <row r="182" spans="1:7" x14ac:dyDescent="0.4">
      <c r="A182" s="6">
        <v>45873</v>
      </c>
      <c r="B182" s="3">
        <f>(Prices!B182-Prices!B183)/Prices!B183</f>
        <v>1.519976838448165E-2</v>
      </c>
      <c r="C182" s="3">
        <f>(Prices!D182-Prices!D183)/Prices!D183</f>
        <v>1.8451650176933683E-2</v>
      </c>
      <c r="D182" s="3">
        <f>(Prices!F182-Prices!F183)/Prices!F183</f>
        <v>8.069396812588087E-4</v>
      </c>
      <c r="E182" s="3">
        <f>(Prices!H182-Prices!H183)/Prices!H183</f>
        <v>5.8231697453981152E-3</v>
      </c>
      <c r="G182" s="4">
        <f>Inputs!$B$1*((Inputs!$B$6*Returns!B182)+(Inputs!$B$7*Returns!C182)+(Inputs!$B$8*Returns!D182)+(Inputs!$B$9*Returns!E182))</f>
        <v>1147.6871792880595</v>
      </c>
    </row>
    <row r="183" spans="1:7" x14ac:dyDescent="0.4">
      <c r="A183" s="6">
        <v>45870</v>
      </c>
      <c r="B183" s="3">
        <f>(Prices!B183-Prices!B184)/Prices!B184</f>
        <v>-1.6390330337931927E-2</v>
      </c>
      <c r="C183" s="3">
        <f>(Prices!D183-Prices!D184)/Prices!D184</f>
        <v>-1.9698766393515151E-2</v>
      </c>
      <c r="D183" s="3">
        <f>(Prices!F183-Prices!F184)/Prices!F184</f>
        <v>5.2727641452037718E-3</v>
      </c>
      <c r="E183" s="3">
        <f>(Prices!H183-Prices!H184)/Prices!H184</f>
        <v>2.029970953261168E-2</v>
      </c>
      <c r="G183" s="4">
        <f>Inputs!$B$1*((Inputs!$B$6*Returns!B183)+(Inputs!$B$7*Returns!C183)+(Inputs!$B$8*Returns!D183)+(Inputs!$B$9*Returns!E183))</f>
        <v>-813.26617439894471</v>
      </c>
    </row>
    <row r="184" spans="1:7" x14ac:dyDescent="0.4">
      <c r="A184" s="6">
        <v>45869</v>
      </c>
      <c r="B184" s="3">
        <f>(Prices!B184-Prices!B185)/Prices!B185</f>
        <v>-3.7512215112063727E-3</v>
      </c>
      <c r="C184" s="3">
        <f>(Prices!D184-Prices!D185)/Prices!D185</f>
        <v>-5.2991091862962412E-3</v>
      </c>
      <c r="D184" s="3">
        <f>(Prices!F184-Prices!F185)/Prices!F185</f>
        <v>5.0725372831501847E-4</v>
      </c>
      <c r="E184" s="3">
        <f>(Prices!H184-Prices!H185)/Prices!H185</f>
        <v>6.6454013822434882E-3</v>
      </c>
      <c r="G184" s="4">
        <f>Inputs!$B$1*((Inputs!$B$6*Returns!B184)+(Inputs!$B$7*Returns!C184)+(Inputs!$B$8*Returns!D184)+(Inputs!$B$9*Returns!E184))</f>
        <v>-203.39123307535058</v>
      </c>
    </row>
    <row r="185" spans="1:7" x14ac:dyDescent="0.4">
      <c r="A185" s="6">
        <v>45868</v>
      </c>
      <c r="B185" s="3">
        <f>(Prices!B185-Prices!B186)/Prices!B186</f>
        <v>-1.2593268897773424E-3</v>
      </c>
      <c r="C185" s="3">
        <f>(Prices!D185-Prices!D186)/Prices!D186</f>
        <v>1.3397736487677449E-3</v>
      </c>
      <c r="D185" s="3">
        <f>(Prices!F185-Prices!F186)/Prices!F186</f>
        <v>-2.8325746079919186E-3</v>
      </c>
      <c r="E185" s="3">
        <f>(Prices!H185-Prices!H186)/Prices!H186</f>
        <v>-1.7273469387755168E-2</v>
      </c>
      <c r="G185" s="4">
        <f>Inputs!$B$1*((Inputs!$B$6*Returns!B185)+(Inputs!$B$7*Returns!C185)+(Inputs!$B$8*Returns!D185)+(Inputs!$B$9*Returns!E185))</f>
        <v>-260.42779344924969</v>
      </c>
    </row>
    <row r="186" spans="1:7" x14ac:dyDescent="0.4">
      <c r="A186" s="6">
        <v>45867</v>
      </c>
      <c r="B186" s="3">
        <f>(Prices!B186-Prices!B187)/Prices!B187</f>
        <v>-2.6376110779666273E-3</v>
      </c>
      <c r="C186" s="3">
        <f>(Prices!D186-Prices!D187)/Prices!D187</f>
        <v>-1.5489140000703972E-3</v>
      </c>
      <c r="D186" s="3">
        <f>(Prices!F186-Prices!F187)/Prices!F187</f>
        <v>5.3905614320585958E-3</v>
      </c>
      <c r="E186" s="3">
        <f>(Prices!H186-Prices!H187)/Prices!H187</f>
        <v>2.7504011001603578E-3</v>
      </c>
      <c r="G186" s="4">
        <f>Inputs!$B$1*((Inputs!$B$6*Returns!B186)+(Inputs!$B$7*Returns!C186)+(Inputs!$B$8*Returns!D186)+(Inputs!$B$9*Returns!E186))</f>
        <v>18.040753682643444</v>
      </c>
    </row>
    <row r="187" spans="1:7" x14ac:dyDescent="0.4">
      <c r="A187" s="6">
        <v>45866</v>
      </c>
      <c r="B187" s="3">
        <f>(Prices!B187-Prices!B188)/Prices!B188</f>
        <v>-2.5113796892162638E-4</v>
      </c>
      <c r="C187" s="3">
        <f>(Prices!D187-Prices!D188)/Prices!D188</f>
        <v>3.1251655278351285E-3</v>
      </c>
      <c r="D187" s="3">
        <f>(Prices!F187-Prices!F188)/Prices!F188</f>
        <v>-1.3204672422550499E-3</v>
      </c>
      <c r="E187" s="3">
        <f>(Prices!H187-Prices!H188)/Prices!H188</f>
        <v>-6.4736499674689406E-3</v>
      </c>
      <c r="G187" s="4">
        <f>Inputs!$B$1*((Inputs!$B$6*Returns!B187)+(Inputs!$B$7*Returns!C187)+(Inputs!$B$8*Returns!D187)+(Inputs!$B$9*Returns!E187))</f>
        <v>-29.6645612920525</v>
      </c>
    </row>
    <row r="188" spans="1:7" x14ac:dyDescent="0.4">
      <c r="A188" s="6">
        <v>45863</v>
      </c>
      <c r="B188" s="3">
        <f>(Prices!B188-Prices!B189)/Prices!B189</f>
        <v>4.2243308849028464E-3</v>
      </c>
      <c r="C188" s="3">
        <f>(Prices!D188-Prices!D189)/Prices!D189</f>
        <v>2.4070370435921732E-3</v>
      </c>
      <c r="D188" s="3">
        <f>(Prices!F188-Prices!F189)/Prices!F189</f>
        <v>1.6278359955234163E-3</v>
      </c>
      <c r="E188" s="3">
        <f>(Prices!H188-Prices!H189)/Prices!H189</f>
        <v>-9.2500080574983226E-3</v>
      </c>
      <c r="G188" s="4">
        <f>Inputs!$B$1*((Inputs!$B$6*Returns!B188)+(Inputs!$B$7*Returns!C188)+(Inputs!$B$8*Returns!D188)+(Inputs!$B$9*Returns!E188))</f>
        <v>177.34498079902036</v>
      </c>
    </row>
    <row r="189" spans="1:7" x14ac:dyDescent="0.4">
      <c r="A189" s="6">
        <v>45862</v>
      </c>
      <c r="B189" s="3">
        <f>(Prices!B189-Prices!B190)/Prices!B190</f>
        <v>3.3112060673897082E-4</v>
      </c>
      <c r="C189" s="3">
        <f>(Prices!D189-Prices!D190)/Prices!D190</f>
        <v>2.1283765807631038E-3</v>
      </c>
      <c r="D189" s="3">
        <f>(Prices!F189-Prices!F190)/Prices!F190</f>
        <v>-6.1006609049301546E-4</v>
      </c>
      <c r="E189" s="3">
        <f>(Prices!H189-Prices!H190)/Prices!H190</f>
        <v>-6.1182651034660295E-3</v>
      </c>
      <c r="G189" s="4">
        <f>Inputs!$B$1*((Inputs!$B$6*Returns!B189)+(Inputs!$B$7*Returns!C189)+(Inputs!$B$8*Returns!D189)+(Inputs!$B$9*Returns!E189))</f>
        <v>-9.980064508349253</v>
      </c>
    </row>
    <row r="190" spans="1:7" x14ac:dyDescent="0.4">
      <c r="A190" s="6">
        <v>45861</v>
      </c>
      <c r="B190" s="3">
        <f>(Prices!B190-Prices!B191)/Prices!B191</f>
        <v>8.5074579397640526E-3</v>
      </c>
      <c r="C190" s="3">
        <f>(Prices!D190-Prices!D191)/Prices!D191</f>
        <v>4.5612472160355376E-3</v>
      </c>
      <c r="D190" s="3">
        <f>(Prices!F190-Prices!F191)/Prices!F191</f>
        <v>-2.2319164045855621E-3</v>
      </c>
      <c r="E190" s="3">
        <f>(Prices!H190-Prices!H191)/Prices!H191</f>
        <v>-1.2401138880101283E-2</v>
      </c>
      <c r="G190" s="4">
        <f>Inputs!$B$1*((Inputs!$B$6*Returns!B190)+(Inputs!$B$7*Returns!C190)+(Inputs!$B$8*Returns!D190)+(Inputs!$B$9*Returns!E190))</f>
        <v>274.52019907579859</v>
      </c>
    </row>
    <row r="191" spans="1:7" x14ac:dyDescent="0.4">
      <c r="A191" s="6">
        <v>45860</v>
      </c>
      <c r="B191" s="3">
        <f>(Prices!B191-Prices!B192)/Prices!B192</f>
        <v>1.4313660002867795E-4</v>
      </c>
      <c r="C191" s="3">
        <f>(Prices!D191-Prices!D192)/Prices!D192</f>
        <v>-5.1757448995869313E-3</v>
      </c>
      <c r="D191" s="3">
        <f>(Prices!F191-Prices!F192)/Prices!F192</f>
        <v>1.9312868469200826E-3</v>
      </c>
      <c r="E191" s="3">
        <f>(Prices!H191-Prices!H192)/Prices!H192</f>
        <v>9.4848784849743788E-3</v>
      </c>
      <c r="G191" s="4">
        <f>Inputs!$B$1*((Inputs!$B$6*Returns!B191)+(Inputs!$B$7*Returns!C191)+(Inputs!$B$8*Returns!D191)+(Inputs!$B$9*Returns!E191))</f>
        <v>19.462797534219693</v>
      </c>
    </row>
    <row r="192" spans="1:7" x14ac:dyDescent="0.4">
      <c r="A192" s="6">
        <v>45859</v>
      </c>
      <c r="B192" s="3">
        <f>(Prices!B192-Prices!B193)/Prices!B193</f>
        <v>1.8961725995091316E-3</v>
      </c>
      <c r="C192" s="3">
        <f>(Prices!D192-Prices!D193)/Prices!D193</f>
        <v>5.1847628550047544E-3</v>
      </c>
      <c r="D192" s="3">
        <f>(Prices!F192-Prices!F193)/Prices!F193</f>
        <v>2.7520130465803283E-3</v>
      </c>
      <c r="E192" s="3">
        <f>(Prices!H192-Prices!H193)/Prices!H193</f>
        <v>1.5370148188981515E-2</v>
      </c>
      <c r="G192" s="4">
        <f>Inputs!$B$1*((Inputs!$B$6*Returns!B192)+(Inputs!$B$7*Returns!C192)+(Inputs!$B$8*Returns!D192)+(Inputs!$B$9*Returns!E192))</f>
        <v>427.96778340980745</v>
      </c>
    </row>
    <row r="193" spans="1:7" x14ac:dyDescent="0.4">
      <c r="A193" s="6">
        <v>45856</v>
      </c>
      <c r="B193" s="3">
        <f>(Prices!B193-Prices!B194)/Prices!B194</f>
        <v>-7.3243742436775161E-4</v>
      </c>
      <c r="C193" s="3">
        <f>(Prices!D193-Prices!D194)/Prices!D194</f>
        <v>-9.6119615521531444E-4</v>
      </c>
      <c r="D193" s="3">
        <f>(Prices!F193-Prices!F194)/Prices!F194</f>
        <v>1.8380475850096251E-3</v>
      </c>
      <c r="E193" s="3">
        <f>(Prices!H193-Prices!H194)/Prices!H194</f>
        <v>2.600864787541895E-3</v>
      </c>
      <c r="G193" s="4">
        <f>Inputs!$B$1*((Inputs!$B$6*Returns!B193)+(Inputs!$B$7*Returns!C193)+(Inputs!$B$8*Returns!D193)+(Inputs!$B$9*Returns!E193))</f>
        <v>18.632436645566653</v>
      </c>
    </row>
    <row r="194" spans="1:7" x14ac:dyDescent="0.4">
      <c r="A194" s="6">
        <v>45855</v>
      </c>
      <c r="B194" s="3">
        <f>(Prices!B194-Prices!B195)/Prices!B195</f>
        <v>6.1196373073594823E-3</v>
      </c>
      <c r="C194" s="3">
        <f>(Prices!D194-Prices!D195)/Prices!D195</f>
        <v>8.0927344829442322E-3</v>
      </c>
      <c r="D194" s="3">
        <f>(Prices!F194-Prices!F195)/Prices!F195</f>
        <v>4.0862192256620953E-4</v>
      </c>
      <c r="E194" s="3">
        <f>(Prices!H194-Prices!H195)/Prices!H195</f>
        <v>-2.1734899111140464E-3</v>
      </c>
      <c r="G194" s="4">
        <f>Inputs!$B$1*((Inputs!$B$6*Returns!B194)+(Inputs!$B$7*Returns!C194)+(Inputs!$B$8*Returns!D194)+(Inputs!$B$9*Returns!E194))</f>
        <v>435.58450332099989</v>
      </c>
    </row>
    <row r="195" spans="1:7" x14ac:dyDescent="0.4">
      <c r="A195" s="6">
        <v>45854</v>
      </c>
      <c r="B195" s="3">
        <f>(Prices!B195-Prices!B196)/Prices!B196</f>
        <v>3.3432989359308855E-3</v>
      </c>
      <c r="C195" s="3">
        <f>(Prices!D195-Prices!D196)/Prices!D196</f>
        <v>1.0238540020116689E-3</v>
      </c>
      <c r="D195" s="3">
        <f>(Prices!F195-Prices!F196)/Prices!F196</f>
        <v>1.4322250639386247E-3</v>
      </c>
      <c r="E195" s="3">
        <f>(Prices!H195-Prices!H196)/Prices!H196</f>
        <v>4.9881002836369859E-3</v>
      </c>
      <c r="G195" s="4">
        <f>Inputs!$B$1*((Inputs!$B$6*Returns!B195)+(Inputs!$B$7*Returns!C195)+(Inputs!$B$8*Returns!D195)+(Inputs!$B$9*Returns!E195))</f>
        <v>245.01493692236264</v>
      </c>
    </row>
    <row r="196" spans="1:7" x14ac:dyDescent="0.4">
      <c r="A196" s="6">
        <v>45853</v>
      </c>
      <c r="B196" s="3">
        <f>(Prices!B196-Prices!B197)/Prices!B197</f>
        <v>-4.2732990829211425E-3</v>
      </c>
      <c r="C196" s="3">
        <f>(Prices!D196-Prices!D197)/Prices!D197</f>
        <v>9.1691986839501419E-4</v>
      </c>
      <c r="D196" s="3">
        <f>(Prices!F196-Prices!F197)/Prices!F197</f>
        <v>-2.9579763361893743E-3</v>
      </c>
      <c r="E196" s="3">
        <f>(Prices!H196-Prices!H197)/Prices!H197</f>
        <v>-4.1557092302197092E-3</v>
      </c>
      <c r="G196" s="4">
        <f>Inputs!$B$1*((Inputs!$B$6*Returns!B196)+(Inputs!$B$7*Returns!C196)+(Inputs!$B$8*Returns!D196)+(Inputs!$B$9*Returns!E196))</f>
        <v>-263.51546731390181</v>
      </c>
    </row>
    <row r="197" spans="1:7" x14ac:dyDescent="0.4">
      <c r="A197" s="6">
        <v>45852</v>
      </c>
      <c r="B197" s="3">
        <f>(Prices!B197-Prices!B198)/Prices!B198</f>
        <v>1.9082133350436818E-3</v>
      </c>
      <c r="C197" s="3">
        <f>(Prices!D197-Prices!D198)/Prices!D198</f>
        <v>3.6268495128112428E-3</v>
      </c>
      <c r="D197" s="3">
        <f>(Prices!F197-Prices!F198)/Prices!F198</f>
        <v>-1.019887812339715E-4</v>
      </c>
      <c r="E197" s="3">
        <f>(Prices!H197-Prices!H198)/Prices!H198</f>
        <v>-3.6553018050074254E-3</v>
      </c>
      <c r="G197" s="4">
        <f>Inputs!$B$1*((Inputs!$B$6*Returns!B197)+(Inputs!$B$7*Returns!C197)+(Inputs!$B$8*Returns!D197)+(Inputs!$B$9*Returns!E197))</f>
        <v>127.8970336411048</v>
      </c>
    </row>
    <row r="198" spans="1:7" x14ac:dyDescent="0.4">
      <c r="A198" s="6">
        <v>45849</v>
      </c>
      <c r="B198" s="3">
        <f>(Prices!B198-Prices!B199)/Prices!B199</f>
        <v>-3.5153878111917887E-3</v>
      </c>
      <c r="C198" s="3">
        <f>(Prices!D198-Prices!D199)/Prices!D199</f>
        <v>-2.2504275812404357E-3</v>
      </c>
      <c r="D198" s="3">
        <f>(Prices!F198-Prices!F199)/Prices!F199</f>
        <v>-4.1641275644931607E-3</v>
      </c>
      <c r="E198" s="3">
        <f>(Prices!H198-Prices!H199)/Prices!H199</f>
        <v>9.6015676028739314E-3</v>
      </c>
      <c r="G198" s="4">
        <f>Inputs!$B$1*((Inputs!$B$6*Returns!B198)+(Inputs!$B$7*Returns!C198)+(Inputs!$B$8*Returns!D198)+(Inputs!$B$9*Returns!E198))</f>
        <v>-204.96371506227214</v>
      </c>
    </row>
    <row r="199" spans="1:7" x14ac:dyDescent="0.4">
      <c r="A199" s="6">
        <v>45848</v>
      </c>
      <c r="B199" s="3">
        <f>(Prices!B199-Prices!B200)/Prices!B200</f>
        <v>2.8202416434318892E-3</v>
      </c>
      <c r="C199" s="3">
        <f>(Prices!D199-Prices!D200)/Prices!D200</f>
        <v>-1.4382022471909296E-3</v>
      </c>
      <c r="D199" s="3">
        <f>(Prices!F199-Prices!F200)/Prices!F200</f>
        <v>-3.0459945172099846E-4</v>
      </c>
      <c r="E199" s="3">
        <f>(Prices!H199-Prices!H200)/Prices!H200</f>
        <v>2.225713537575304E-3</v>
      </c>
      <c r="G199" s="4">
        <f>Inputs!$B$1*((Inputs!$B$6*Returns!B199)+(Inputs!$B$7*Returns!C199)+(Inputs!$B$8*Returns!D199)+(Inputs!$B$9*Returns!E199))</f>
        <v>91.496758640230411</v>
      </c>
    </row>
    <row r="200" spans="1:7" x14ac:dyDescent="0.4">
      <c r="A200" s="6">
        <v>45847</v>
      </c>
      <c r="B200" s="3">
        <f>(Prices!B200-Prices!B201)/Prices!B201</f>
        <v>5.9967114808007118E-3</v>
      </c>
      <c r="C200" s="3">
        <f>(Prices!D200-Prices!D201)/Prices!D201</f>
        <v>7.0789730962812179E-3</v>
      </c>
      <c r="D200" s="3">
        <f>(Prices!F200-Prices!F201)/Prices!F201</f>
        <v>4.1802610114192148E-3</v>
      </c>
      <c r="E200" s="3">
        <f>(Prices!H200-Prices!H201)/Prices!H201</f>
        <v>4.4713308784848655E-3</v>
      </c>
      <c r="G200" s="4">
        <f>Inputs!$B$1*((Inputs!$B$6*Returns!B200)+(Inputs!$B$7*Returns!C200)+(Inputs!$B$8*Returns!D200)+(Inputs!$B$9*Returns!E200))</f>
        <v>566.06262070938794</v>
      </c>
    </row>
    <row r="201" spans="1:7" x14ac:dyDescent="0.4">
      <c r="A201" s="6">
        <v>45846</v>
      </c>
      <c r="B201" s="3">
        <f>(Prices!B201-Prices!B202)/Prices!B202</f>
        <v>-5.47786298897851E-4</v>
      </c>
      <c r="C201" s="3">
        <f>(Prices!D201-Prices!D202)/Prices!D202</f>
        <v>5.6156368313327017E-4</v>
      </c>
      <c r="D201" s="3">
        <f>(Prices!F201-Prices!F202)/Prices!F202</f>
        <v>-4.0766408479419333E-4</v>
      </c>
      <c r="E201" s="3">
        <f>(Prices!H201-Prices!H202)/Prices!H202</f>
        <v>-1.0443439502879199E-2</v>
      </c>
      <c r="G201" s="4">
        <f>Inputs!$B$1*((Inputs!$B$6*Returns!B201)+(Inputs!$B$7*Returns!C201)+(Inputs!$B$8*Returns!D201)+(Inputs!$B$9*Returns!E201))</f>
        <v>-122.4983570262291</v>
      </c>
    </row>
    <row r="202" spans="1:7" x14ac:dyDescent="0.4">
      <c r="A202" s="6">
        <v>45845</v>
      </c>
      <c r="B202" s="3">
        <f>(Prices!B202-Prices!B203)/Prices!B203</f>
        <v>-7.451946141299264E-3</v>
      </c>
      <c r="C202" s="3">
        <f>(Prices!D202-Prices!D203)/Prices!D203</f>
        <v>-7.5329905433102985E-3</v>
      </c>
      <c r="D202" s="3">
        <f>(Prices!F202-Prices!F203)/Prices!F203</f>
        <v>-3.5543820452929248E-3</v>
      </c>
      <c r="E202" s="3">
        <f>(Prices!H202-Prices!H203)/Prices!H203</f>
        <v>7.4884417529471313E-4</v>
      </c>
      <c r="G202" s="4">
        <f>Inputs!$B$1*((Inputs!$B$6*Returns!B202)+(Inputs!$B$7*Returns!C202)+(Inputs!$B$8*Returns!D202)+(Inputs!$B$9*Returns!E202))</f>
        <v>-567.77371861410404</v>
      </c>
    </row>
    <row r="203" spans="1:7" x14ac:dyDescent="0.4">
      <c r="A203" s="6">
        <v>45841</v>
      </c>
      <c r="B203" s="3">
        <f>(Prices!B203-Prices!B204)/Prices!B204</f>
        <v>7.8813764203400534E-3</v>
      </c>
      <c r="C203" s="3">
        <f>(Prices!D203-Prices!D204)/Prices!D204</f>
        <v>9.8402323892521296E-3</v>
      </c>
      <c r="D203" s="3">
        <f>(Prices!F203-Prices!F204)/Prices!F204</f>
        <v>-2.0269585486977081E-3</v>
      </c>
      <c r="E203" s="3">
        <f>(Prices!H203-Prices!H204)/Prices!H204</f>
        <v>-6.8229587712207397E-3</v>
      </c>
      <c r="G203" s="4">
        <f>Inputs!$B$1*((Inputs!$B$6*Returns!B203)+(Inputs!$B$7*Returns!C203)+(Inputs!$B$8*Returns!D203)+(Inputs!$B$9*Returns!E203))</f>
        <v>442.35731511525523</v>
      </c>
    </row>
    <row r="204" spans="1:7" x14ac:dyDescent="0.4">
      <c r="A204" s="6">
        <v>45840</v>
      </c>
      <c r="B204" s="3">
        <f>(Prices!B204-Prices!B205)/Prices!B205</f>
        <v>4.5333117461346531E-3</v>
      </c>
      <c r="C204" s="3">
        <f>(Prices!D204-Prices!D205)/Prices!D205</f>
        <v>6.9653924203366526E-3</v>
      </c>
      <c r="D204" s="3">
        <f>(Prices!F204-Prices!F205)/Prices!F205</f>
        <v>-1.2146978439113731E-3</v>
      </c>
      <c r="E204" s="3">
        <f>(Prices!H204-Prices!H205)/Prices!H205</f>
        <v>5.5275564948788439E-3</v>
      </c>
      <c r="G204" s="4">
        <f>Inputs!$B$1*((Inputs!$B$6*Returns!B204)+(Inputs!$B$7*Returns!C204)+(Inputs!$B$8*Returns!D204)+(Inputs!$B$9*Returns!E204))</f>
        <v>380.37539920480651</v>
      </c>
    </row>
    <row r="205" spans="1:7" x14ac:dyDescent="0.4">
      <c r="A205" s="6">
        <v>45839</v>
      </c>
      <c r="B205" s="3">
        <f>(Prices!B205-Prices!B206)/Prices!B206</f>
        <v>-3.2370316419850364E-4</v>
      </c>
      <c r="C205" s="3">
        <f>(Prices!D205-Prices!D206)/Prices!D206</f>
        <v>-8.4294104850989367E-3</v>
      </c>
      <c r="D205" s="3">
        <f>(Prices!F205-Prices!F206)/Prices!F206</f>
        <v>-4.1330645161289977E-3</v>
      </c>
      <c r="E205" s="3">
        <f>(Prices!H205-Prices!H206)/Prices!H206</f>
        <v>8.9230062657875784E-3</v>
      </c>
      <c r="G205" s="4">
        <f>Inputs!$B$1*((Inputs!$B$6*Returns!B205)+(Inputs!$B$7*Returns!C205)+(Inputs!$B$8*Returns!D205)+(Inputs!$B$9*Returns!E205))</f>
        <v>-237.77993894076272</v>
      </c>
    </row>
    <row r="206" spans="1:7" x14ac:dyDescent="0.4">
      <c r="A206" s="6">
        <v>45838</v>
      </c>
      <c r="B206" s="3">
        <f>(Prices!B206-Prices!B207)/Prices!B207</f>
        <v>4.7811874908524092E-3</v>
      </c>
      <c r="C206" s="3">
        <f>(Prices!D206-Prices!D207)/Prices!D207</f>
        <v>6.4770384425914618E-3</v>
      </c>
      <c r="D206" s="3">
        <f>(Prices!F206-Prices!F207)/Prices!F207</f>
        <v>4.0485829959514743E-3</v>
      </c>
      <c r="E206" s="3">
        <f>(Prices!H206-Prices!H207)/Prices!H207</f>
        <v>1.1984595976362648E-2</v>
      </c>
      <c r="G206" s="4">
        <f>Inputs!$B$1*((Inputs!$B$6*Returns!B206)+(Inputs!$B$7*Returns!C206)+(Inputs!$B$8*Returns!D206)+(Inputs!$B$9*Returns!E206))</f>
        <v>574.23399536129625</v>
      </c>
    </row>
    <row r="207" spans="1:7" x14ac:dyDescent="0.4">
      <c r="A207" s="6">
        <v>45835</v>
      </c>
      <c r="B207" s="3">
        <f>(Prices!B207-Prices!B208)/Prices!B208</f>
        <v>4.9683756353473179E-3</v>
      </c>
      <c r="C207" s="3">
        <f>(Prices!D207-Prices!D208)/Prices!D208</f>
        <v>3.4235289809966762E-3</v>
      </c>
      <c r="D207" s="3">
        <f>(Prices!F207-Prices!F208)/Prices!F208</f>
        <v>-2.8259991925716709E-3</v>
      </c>
      <c r="E207" s="3">
        <f>(Prices!H207-Prices!H208)/Prices!H208</f>
        <v>-1.8123736879848574E-2</v>
      </c>
      <c r="G207" s="4">
        <f>Inputs!$B$1*((Inputs!$B$6*Returns!B207)+(Inputs!$B$7*Returns!C207)+(Inputs!$B$8*Returns!D207)+(Inputs!$B$9*Returns!E207))</f>
        <v>32.435901326032095</v>
      </c>
    </row>
    <row r="208" spans="1:7" x14ac:dyDescent="0.4">
      <c r="A208" s="6">
        <v>45834</v>
      </c>
      <c r="B208" s="3">
        <f>(Prices!B208-Prices!B209)/Prices!B209</f>
        <v>7.8238239557253918E-3</v>
      </c>
      <c r="C208" s="3">
        <f>(Prices!D208-Prices!D209)/Prices!D209</f>
        <v>9.3502845738784451E-3</v>
      </c>
      <c r="D208" s="3">
        <f>(Prices!F208-Prices!F209)/Prices!F209</f>
        <v>2.7325169517254935E-3</v>
      </c>
      <c r="E208" s="3">
        <f>(Prices!H208-Prices!H209)/Prices!H209</f>
        <v>-1.1070591299818697E-3</v>
      </c>
      <c r="G208" s="4">
        <f>Inputs!$B$1*((Inputs!$B$6*Returns!B208)+(Inputs!$B$7*Returns!C208)+(Inputs!$B$8*Returns!D208)+(Inputs!$B$9*Returns!E208))</f>
        <v>603.95240506929554</v>
      </c>
    </row>
    <row r="209" spans="1:7" x14ac:dyDescent="0.4">
      <c r="A209" s="6">
        <v>45833</v>
      </c>
      <c r="B209" s="3">
        <f>(Prices!B209-Prices!B210)/Prices!B210</f>
        <v>5.6033488249453156E-4</v>
      </c>
      <c r="C209" s="3">
        <f>(Prices!D209-Prices!D210)/Prices!D210</f>
        <v>2.5565971321649477E-3</v>
      </c>
      <c r="D209" s="3">
        <f>(Prices!F209-Prices!F210)/Prices!F210</f>
        <v>-1.0119409026503649E-4</v>
      </c>
      <c r="E209" s="3">
        <f>(Prices!H209-Prices!H210)/Prices!H210</f>
        <v>3.0373297625657493E-3</v>
      </c>
      <c r="G209" s="4">
        <f>Inputs!$B$1*((Inputs!$B$6*Returns!B209)+(Inputs!$B$7*Returns!C209)+(Inputs!$B$8*Returns!D209)+(Inputs!$B$9*Returns!E209))</f>
        <v>114.17176897293655</v>
      </c>
    </row>
    <row r="210" spans="1:7" x14ac:dyDescent="0.4">
      <c r="A210" s="6">
        <v>45832</v>
      </c>
      <c r="B210" s="3">
        <f>(Prices!B210-Prices!B211)/Prices!B211</f>
        <v>1.104723819045238E-2</v>
      </c>
      <c r="C210" s="3">
        <f>(Prices!D210-Prices!D211)/Prices!D211</f>
        <v>1.5292015423680985E-2</v>
      </c>
      <c r="D210" s="3">
        <f>(Prices!F210-Prices!F211)/Prices!F211</f>
        <v>4.0642145905302931E-3</v>
      </c>
      <c r="E210" s="3">
        <f>(Prices!H210-Prices!H211)/Prices!H211</f>
        <v>-1.5719429085765676E-2</v>
      </c>
      <c r="G210" s="4">
        <f>Inputs!$B$1*((Inputs!$B$6*Returns!B210)+(Inputs!$B$7*Returns!C210)+(Inputs!$B$8*Returns!D210)+(Inputs!$B$9*Returns!E210))</f>
        <v>768.60098711572039</v>
      </c>
    </row>
    <row r="211" spans="1:7" x14ac:dyDescent="0.4">
      <c r="A211" s="6">
        <v>45831</v>
      </c>
      <c r="B211" s="3">
        <f>(Prices!B211-Prices!B212)/Prices!B212</f>
        <v>9.8774988221040673E-3</v>
      </c>
      <c r="C211" s="3">
        <f>(Prices!D211-Prices!D212)/Prices!D212</f>
        <v>9.1490613670442769E-3</v>
      </c>
      <c r="D211" s="3">
        <f>(Prices!F211-Prices!F212)/Prices!F212</f>
        <v>2.0362451639177647E-3</v>
      </c>
      <c r="E211" s="3">
        <f>(Prices!H211-Prices!H212)/Prices!H212</f>
        <v>3.0632315480604543E-3</v>
      </c>
      <c r="G211" s="4">
        <f>Inputs!$B$1*((Inputs!$B$6*Returns!B211)+(Inputs!$B$7*Returns!C211)+(Inputs!$B$8*Returns!D211)+(Inputs!$B$9*Returns!E211))</f>
        <v>705.36493163881823</v>
      </c>
    </row>
    <row r="212" spans="1:7" x14ac:dyDescent="0.4">
      <c r="A212" s="6">
        <v>45828</v>
      </c>
      <c r="B212" s="3">
        <f>(Prices!B212-Prices!B213)/Prices!B213</f>
        <v>-5.2892340653456103E-3</v>
      </c>
      <c r="C212" s="3">
        <f>(Prices!D212-Prices!D213)/Prices!D213</f>
        <v>-4.0832529915498742E-3</v>
      </c>
      <c r="D212" s="3">
        <f>(Prices!F212-Prices!F213)/Prices!F213</f>
        <v>9.1715071843476419E-4</v>
      </c>
      <c r="E212" s="3">
        <f>(Prices!H212-Prices!H213)/Prices!H213</f>
        <v>-4.1900341648938133E-4</v>
      </c>
      <c r="G212" s="4">
        <f>Inputs!$B$1*((Inputs!$B$6*Returns!B212)+(Inputs!$B$7*Returns!C212)+(Inputs!$B$8*Returns!D212)+(Inputs!$B$9*Returns!E212))</f>
        <v>-294.91195360659594</v>
      </c>
    </row>
    <row r="213" spans="1:7" x14ac:dyDescent="0.4">
      <c r="A213" s="6">
        <v>45826</v>
      </c>
      <c r="B213" s="3">
        <f>(Prices!B213-Prices!B214)/Prices!B214</f>
        <v>-1.5062005254952578E-4</v>
      </c>
      <c r="C213" s="3">
        <f>(Prices!D213-Prices!D214)/Prices!D214</f>
        <v>-1.7010660013614542E-4</v>
      </c>
      <c r="D213" s="3">
        <f>(Prices!F213-Prices!F214)/Prices!F214</f>
        <v>7.1384866408314481E-4</v>
      </c>
      <c r="E213" s="3">
        <f>(Prices!H213-Prices!H214)/Prices!H214</f>
        <v>-5.3856510867474738E-3</v>
      </c>
      <c r="G213" s="4">
        <f>Inputs!$B$1*((Inputs!$B$6*Returns!B213)+(Inputs!$B$7*Returns!C213)+(Inputs!$B$8*Returns!D213)+(Inputs!$B$9*Returns!E213))</f>
        <v>-46.287761370780792</v>
      </c>
    </row>
    <row r="214" spans="1:7" x14ac:dyDescent="0.4">
      <c r="A214" s="6">
        <v>45825</v>
      </c>
      <c r="B214" s="3">
        <f>(Prices!B214-Prices!B215)/Prices!B215</f>
        <v>-8.5451649299793878E-3</v>
      </c>
      <c r="C214" s="3">
        <f>(Prices!D214-Prices!D215)/Prices!D215</f>
        <v>-9.7512586797430661E-3</v>
      </c>
      <c r="D214" s="3">
        <f>(Prices!F214-Prices!F215)/Prices!F215</f>
        <v>3.0687397708674012E-3</v>
      </c>
      <c r="E214" s="3">
        <f>(Prices!H214-Prices!H215)/Prices!H215</f>
        <v>5.1318237218559565E-4</v>
      </c>
      <c r="G214" s="4">
        <f>Inputs!$B$1*((Inputs!$B$6*Returns!B214)+(Inputs!$B$7*Returns!C214)+(Inputs!$B$8*Returns!D214)+(Inputs!$B$9*Returns!E214))</f>
        <v>-503.73774619921119</v>
      </c>
    </row>
    <row r="215" spans="1:7" x14ac:dyDescent="0.4">
      <c r="A215" s="6">
        <v>45824</v>
      </c>
      <c r="B215" s="3">
        <f>(Prices!B215-Prices!B216)/Prices!B216</f>
        <v>9.5142378559463156E-3</v>
      </c>
      <c r="C215" s="3">
        <f>(Prices!D215-Prices!D216)/Prices!D216</f>
        <v>1.3909974191589356E-2</v>
      </c>
      <c r="D215" s="3">
        <f>(Prices!F215-Prices!F216)/Prices!F216</f>
        <v>-2.0416496529194429E-3</v>
      </c>
      <c r="E215" s="3">
        <f>(Prices!H215-Prices!H216)/Prices!H216</f>
        <v>-1.4259066046982349E-2</v>
      </c>
      <c r="G215" s="4">
        <f>Inputs!$B$1*((Inputs!$B$6*Returns!B215)+(Inputs!$B$7*Returns!C215)+(Inputs!$B$8*Returns!D215)+(Inputs!$B$9*Returns!E215))</f>
        <v>534.68696723477694</v>
      </c>
    </row>
    <row r="216" spans="1:7" x14ac:dyDescent="0.4">
      <c r="A216" s="6">
        <v>45821</v>
      </c>
      <c r="B216" s="3">
        <f>(Prices!B216-Prices!B217)/Prices!B217</f>
        <v>-1.1180124223602485E-2</v>
      </c>
      <c r="C216" s="3">
        <f>(Prices!D216-Prices!D217)/Prices!D217</f>
        <v>-1.2554810178765379E-2</v>
      </c>
      <c r="D216" s="3">
        <f>(Prices!F216-Prices!F217)/Prices!F217</f>
        <v>-3.5601668192453313E-3</v>
      </c>
      <c r="E216" s="3">
        <f>(Prices!H216-Prices!H217)/Prices!H217</f>
        <v>1.3100576553491455E-2</v>
      </c>
      <c r="G216" s="4">
        <f>Inputs!$B$1*((Inputs!$B$6*Returns!B216)+(Inputs!$B$7*Returns!C216)+(Inputs!$B$8*Returns!D216)+(Inputs!$B$9*Returns!E216))</f>
        <v>-719.07362835945264</v>
      </c>
    </row>
    <row r="217" spans="1:7" x14ac:dyDescent="0.4">
      <c r="A217" s="6">
        <v>45820</v>
      </c>
      <c r="B217" s="3">
        <f>(Prices!B217-Prices!B218)/Prices!B218</f>
        <v>3.9743248636423881E-3</v>
      </c>
      <c r="C217" s="3">
        <f>(Prices!D217-Prices!D218)/Prices!D218</f>
        <v>2.3478146541199454E-3</v>
      </c>
      <c r="D217" s="3">
        <f>(Prices!F217-Prices!F218)/Prices!F218</f>
        <v>3.6753445635528273E-3</v>
      </c>
      <c r="E217" s="3">
        <f>(Prices!H217-Prices!H218)/Prices!H218</f>
        <v>1.242014463144918E-2</v>
      </c>
      <c r="G217" s="4">
        <f>Inputs!$B$1*((Inputs!$B$6*Returns!B217)+(Inputs!$B$7*Returns!C217)+(Inputs!$B$8*Returns!D217)+(Inputs!$B$9*Returns!E217))</f>
        <v>433.75342130200664</v>
      </c>
    </row>
    <row r="218" spans="1:7" x14ac:dyDescent="0.4">
      <c r="A218" s="6">
        <v>45819</v>
      </c>
      <c r="B218" s="3">
        <f>(Prices!B218-Prices!B219)/Prices!B219</f>
        <v>-2.8520262651721617E-3</v>
      </c>
      <c r="C218" s="3">
        <f>(Prices!D218-Prices!D219)/Prices!D219</f>
        <v>-3.3694614477453961E-3</v>
      </c>
      <c r="D218" s="3">
        <f>(Prices!F218-Prices!F219)/Prices!F219</f>
        <v>3.3804548248309598E-3</v>
      </c>
      <c r="E218" s="3">
        <f>(Prices!H218-Prices!H219)/Prices!H219</f>
        <v>5.4122786997490308E-3</v>
      </c>
      <c r="G218" s="4">
        <f>Inputs!$B$1*((Inputs!$B$6*Returns!B218)+(Inputs!$B$7*Returns!C218)+(Inputs!$B$8*Returns!D218)+(Inputs!$B$9*Returns!E218))</f>
        <v>-59.683429182257072</v>
      </c>
    </row>
    <row r="219" spans="1:7" x14ac:dyDescent="0.4">
      <c r="A219" s="6">
        <v>45818</v>
      </c>
      <c r="B219" s="3">
        <f>(Prices!B219-Prices!B220)/Prices!B220</f>
        <v>5.6696905016010062E-3</v>
      </c>
      <c r="C219" s="3">
        <f>(Prices!D219-Prices!D220)/Prices!D220</f>
        <v>6.6139061616732444E-3</v>
      </c>
      <c r="D219" s="3">
        <f>(Prices!F219-Prices!F220)/Prices!F220</f>
        <v>2.2587268993839718E-3</v>
      </c>
      <c r="E219" s="3">
        <f>(Prices!H219-Prices!H220)/Prices!H220</f>
        <v>2.9352292740191438E-4</v>
      </c>
      <c r="G219" s="4">
        <f>Inputs!$B$1*((Inputs!$B$6*Returns!B219)+(Inputs!$B$7*Returns!C219)+(Inputs!$B$8*Returns!D219)+(Inputs!$B$9*Returns!E219))</f>
        <v>451.53867586448985</v>
      </c>
    </row>
    <row r="220" spans="1:7" x14ac:dyDescent="0.4">
      <c r="A220" s="6">
        <v>45817</v>
      </c>
      <c r="B220" s="3">
        <f>(Prices!B220-Prices!B221)/Prices!B221</f>
        <v>9.0129185165397675E-4</v>
      </c>
      <c r="C220" s="3">
        <f>(Prices!D220-Prices!D221)/Prices!D221</f>
        <v>1.4719202898552356E-3</v>
      </c>
      <c r="D220" s="3">
        <f>(Prices!F220-Prices!F221)/Prices!F221</f>
        <v>1.2335526315789941E-3</v>
      </c>
      <c r="E220" s="3">
        <f>(Prices!H220-Prices!H221)/Prices!H221</f>
        <v>4.7185267710859093E-3</v>
      </c>
      <c r="G220" s="4">
        <f>Inputs!$B$1*((Inputs!$B$6*Returns!B220)+(Inputs!$B$7*Returns!C220)+(Inputs!$B$8*Returns!D220)+(Inputs!$B$9*Returns!E220))</f>
        <v>150.8737648128739</v>
      </c>
    </row>
    <row r="221" spans="1:7" x14ac:dyDescent="0.4">
      <c r="A221" s="6">
        <v>45814</v>
      </c>
      <c r="B221" s="3">
        <f>(Prices!B221-Prices!B222)/Prices!B222</f>
        <v>1.0268948655256778E-2</v>
      </c>
      <c r="C221" s="3">
        <f>(Prices!D221-Prices!D222)/Prices!D222</f>
        <v>9.7753387069113278E-3</v>
      </c>
      <c r="D221" s="3">
        <f>(Prices!F221-Prices!F222)/Prices!F222</f>
        <v>-5.1135201472693806E-3</v>
      </c>
      <c r="E221" s="3">
        <f>(Prices!H221-Prices!H222)/Prices!H222</f>
        <v>-1.3416092845828008E-2</v>
      </c>
      <c r="G221" s="4">
        <f>Inputs!$B$1*((Inputs!$B$6*Returns!B221)+(Inputs!$B$7*Returns!C221)+(Inputs!$B$8*Returns!D221)+(Inputs!$B$9*Returns!E221))</f>
        <v>393.1424817430397</v>
      </c>
    </row>
    <row r="222" spans="1:7" x14ac:dyDescent="0.4">
      <c r="A222" s="6">
        <v>45813</v>
      </c>
      <c r="B222" s="3">
        <f>(Prices!B222-Prices!B223)/Prices!B223</f>
        <v>-4.8327823737687242E-3</v>
      </c>
      <c r="C222" s="3">
        <f>(Prices!D222-Prices!D223)/Prices!D223</f>
        <v>-7.526902055714239E-3</v>
      </c>
      <c r="D222" s="3">
        <f>(Prices!F222-Prices!F223)/Prices!F223</f>
        <v>-2.5502397225339183E-3</v>
      </c>
      <c r="E222" s="3">
        <f>(Prices!H222-Prices!H223)/Prices!H223</f>
        <v>-5.0498552589256784E-3</v>
      </c>
      <c r="G222" s="4">
        <f>Inputs!$B$1*((Inputs!$B$6*Returns!B222)+(Inputs!$B$7*Returns!C222)+(Inputs!$B$8*Returns!D222)+(Inputs!$B$9*Returns!E222))</f>
        <v>-495.73839199620971</v>
      </c>
    </row>
    <row r="223" spans="1:7" x14ac:dyDescent="0.4">
      <c r="A223" s="6">
        <v>45812</v>
      </c>
      <c r="B223" s="3">
        <f>(Prices!B223-Prices!B224)/Prices!B224</f>
        <v>-2.6841584324528483E-4</v>
      </c>
      <c r="C223" s="3">
        <f>(Prices!D223-Prices!D224)/Prices!D224</f>
        <v>2.7877868386118479E-3</v>
      </c>
      <c r="D223" s="3">
        <f>(Prices!F223-Prices!F224)/Prices!F224</f>
        <v>5.9517701385325633E-3</v>
      </c>
      <c r="E223" s="3">
        <f>(Prices!H223-Prices!H224)/Prices!H224</f>
        <v>6.4420057621959537E-3</v>
      </c>
      <c r="G223" s="4">
        <f>Inputs!$B$1*((Inputs!$B$6*Returns!B223)+(Inputs!$B$7*Returns!C223)+(Inputs!$B$8*Returns!D223)+(Inputs!$B$9*Returns!E223))</f>
        <v>272.17234832075849</v>
      </c>
    </row>
    <row r="224" spans="1:7" x14ac:dyDescent="0.4">
      <c r="A224" s="6">
        <v>45811</v>
      </c>
      <c r="B224" s="3">
        <f>(Prices!B224-Prices!B225)/Prices!B225</f>
        <v>5.7026201683791321E-3</v>
      </c>
      <c r="C224" s="3">
        <f>(Prices!D224-Prices!D225)/Prices!D225</f>
        <v>7.8171288775060067E-3</v>
      </c>
      <c r="D224" s="3">
        <f>(Prices!F224-Prices!F225)/Prices!F225</f>
        <v>-7.1780147662011057E-4</v>
      </c>
      <c r="E224" s="3">
        <f>(Prices!H224-Prices!H225)/Prices!H225</f>
        <v>-8.8555202618153528E-3</v>
      </c>
      <c r="G224" s="4">
        <f>Inputs!$B$1*((Inputs!$B$6*Returns!B224)+(Inputs!$B$7*Returns!C224)+(Inputs!$B$8*Returns!D224)+(Inputs!$B$9*Returns!E224))</f>
        <v>317.03278913915909</v>
      </c>
    </row>
    <row r="225" spans="1:7" x14ac:dyDescent="0.4">
      <c r="A225" s="6">
        <v>45810</v>
      </c>
      <c r="B225" s="3">
        <f>(Prices!B225-Prices!B226)/Prices!B226</f>
        <v>5.6329425338062233E-3</v>
      </c>
      <c r="C225" s="3">
        <f>(Prices!D225-Prices!D226)/Prices!D226</f>
        <v>7.8981333436073716E-3</v>
      </c>
      <c r="D225" s="3">
        <f>(Prices!F225-Prices!F226)/Prices!F226</f>
        <v>-5.9123343527013083E-3</v>
      </c>
      <c r="E225" s="3">
        <f>(Prices!H225-Prices!H226)/Prices!H226</f>
        <v>2.6581027667984165E-2</v>
      </c>
      <c r="G225" s="4">
        <f>Inputs!$B$1*((Inputs!$B$6*Returns!B225)+(Inputs!$B$7*Returns!C225)+(Inputs!$B$8*Returns!D225)+(Inputs!$B$9*Returns!E225))</f>
        <v>540.7729528047422</v>
      </c>
    </row>
    <row r="226" spans="1:7" x14ac:dyDescent="0.4">
      <c r="A226" s="6">
        <v>45807</v>
      </c>
      <c r="B226" s="3">
        <f>(Prices!B226-Prices!B227)/Prices!B227</f>
        <v>-1.1185492754850746E-3</v>
      </c>
      <c r="C226" s="3">
        <f>(Prices!D226-Prices!D227)/Prices!D227</f>
        <v>-1.5771353836092096E-3</v>
      </c>
      <c r="D226" s="3">
        <f>(Prices!F226-Prices!F227)/Prices!F227</f>
        <v>2.452483139178366E-3</v>
      </c>
      <c r="E226" s="3">
        <f>(Prices!H226-Prices!H227)/Prices!H227</f>
        <v>-6.5770099145970057E-3</v>
      </c>
      <c r="G226" s="4">
        <f>Inputs!$B$1*((Inputs!$B$6*Returns!B226)+(Inputs!$B$7*Returns!C226)+(Inputs!$B$8*Returns!D226)+(Inputs!$B$9*Returns!E226))</f>
        <v>-88.628376276144138</v>
      </c>
    </row>
    <row r="227" spans="1:7" x14ac:dyDescent="0.4">
      <c r="A227" s="6">
        <v>45806</v>
      </c>
      <c r="B227" s="3">
        <f>(Prices!B227-Prices!B228)/Prices!B228</f>
        <v>3.9473908087045689E-3</v>
      </c>
      <c r="C227" s="3">
        <f>(Prices!D227-Prices!D228)/Prices!D228</f>
        <v>1.9656587847603282E-3</v>
      </c>
      <c r="D227" s="3">
        <f>(Prices!F227-Prices!F228)/Prices!F228</f>
        <v>3.6923076923076866E-3</v>
      </c>
      <c r="E227" s="3">
        <f>(Prices!H227-Prices!H228)/Prices!H228</f>
        <v>5.9247556038313793E-3</v>
      </c>
      <c r="G227" s="4">
        <f>Inputs!$B$1*((Inputs!$B$6*Returns!B227)+(Inputs!$B$7*Returns!C227)+(Inputs!$B$8*Returns!D227)+(Inputs!$B$9*Returns!E227))</f>
        <v>358.5923503131969</v>
      </c>
    </row>
    <row r="228" spans="1:7" x14ac:dyDescent="0.4">
      <c r="A228" s="6">
        <v>45805</v>
      </c>
      <c r="B228" s="3">
        <f>(Prices!B228-Prices!B229)/Prices!B229</f>
        <v>-5.7853336716568709E-3</v>
      </c>
      <c r="C228" s="3">
        <f>(Prices!D228-Prices!D229)/Prices!D229</f>
        <v>-4.4319097502015636E-3</v>
      </c>
      <c r="D228" s="3">
        <f>(Prices!F228-Prices!F229)/Prices!F229</f>
        <v>-1.8427518427519124E-3</v>
      </c>
      <c r="E228" s="3">
        <f>(Prices!H228-Prices!H229)/Prices!H229</f>
        <v>-2.2660098522167414E-3</v>
      </c>
      <c r="G228" s="4">
        <f>Inputs!$B$1*((Inputs!$B$6*Returns!B228)+(Inputs!$B$7*Returns!C228)+(Inputs!$B$8*Returns!D228)+(Inputs!$B$9*Returns!E228))</f>
        <v>-410.93998521227911</v>
      </c>
    </row>
    <row r="229" spans="1:7" x14ac:dyDescent="0.4">
      <c r="A229" s="6">
        <v>45804</v>
      </c>
      <c r="B229" s="3">
        <f>(Prices!B229-Prices!B230)/Prices!B230</f>
        <v>2.079052338933875E-2</v>
      </c>
      <c r="C229" s="3">
        <f>(Prices!D229-Prices!D230)/Prices!D230</f>
        <v>2.3525253318670995E-2</v>
      </c>
      <c r="D229" s="3">
        <f>(Prices!F229-Prices!F230)/Prices!F230</f>
        <v>4.524886877828177E-3</v>
      </c>
      <c r="E229" s="3">
        <f>(Prices!H229-Prices!H230)/Prices!H230</f>
        <v>-1.6949152542372881E-2</v>
      </c>
      <c r="G229" s="4">
        <f>Inputs!$B$1*((Inputs!$B$6*Returns!B229)+(Inputs!$B$7*Returns!C229)+(Inputs!$B$8*Returns!D229)+(Inputs!$B$9*Returns!E229))</f>
        <v>1363.3829150623003</v>
      </c>
    </row>
    <row r="230" spans="1:7" x14ac:dyDescent="0.4">
      <c r="A230" s="6">
        <v>45800</v>
      </c>
      <c r="B230" s="3">
        <f>(Prices!B230-Prices!B231)/Prices!B231</f>
        <v>-6.8257044367079148E-3</v>
      </c>
      <c r="C230" s="3">
        <f>(Prices!D230-Prices!D231)/Prices!D231</f>
        <v>-9.26070038910504E-3</v>
      </c>
      <c r="D230" s="3">
        <f>(Prices!F230-Prices!F231)/Prices!F231</f>
        <v>1.4418125643666383E-3</v>
      </c>
      <c r="E230" s="3">
        <f>(Prices!H230-Prices!H231)/Prices!H231</f>
        <v>2.1906238659232576E-2</v>
      </c>
      <c r="G230" s="4">
        <f>Inputs!$B$1*((Inputs!$B$6*Returns!B230)+(Inputs!$B$7*Returns!C230)+(Inputs!$B$8*Returns!D230)+(Inputs!$B$9*Returns!E230))</f>
        <v>-249.43798649445088</v>
      </c>
    </row>
    <row r="231" spans="1:7" x14ac:dyDescent="0.4">
      <c r="A231" s="6">
        <v>45799</v>
      </c>
      <c r="B231" s="3">
        <f>(Prices!B231-Prices!B232)/Prices!B232</f>
        <v>3.9460590879459591E-4</v>
      </c>
      <c r="C231" s="3">
        <f>(Prices!D231-Prices!D232)/Prices!D232</f>
        <v>1.871199126773812E-3</v>
      </c>
      <c r="D231" s="3">
        <f>(Prices!F231-Prices!F232)/Prices!F232</f>
        <v>2.8919644701508071E-3</v>
      </c>
      <c r="E231" s="3">
        <f>(Prices!H231-Prices!H232)/Prices!H232</f>
        <v>-8.8614217513569415E-3</v>
      </c>
      <c r="G231" s="4">
        <f>Inputs!$B$1*((Inputs!$B$6*Returns!B231)+(Inputs!$B$7*Returns!C231)+(Inputs!$B$8*Returns!D231)+(Inputs!$B$9*Returns!E231))</f>
        <v>46.249108761329907</v>
      </c>
    </row>
    <row r="232" spans="1:7" x14ac:dyDescent="0.4">
      <c r="A232" s="6">
        <v>45798</v>
      </c>
      <c r="B232" s="3">
        <f>(Prices!B232-Prices!B233)/Prices!B233</f>
        <v>-1.6850805431390753E-2</v>
      </c>
      <c r="C232" s="3">
        <f>(Prices!D232-Prices!D233)/Prices!D233</f>
        <v>-1.3896630595652293E-2</v>
      </c>
      <c r="D232" s="3">
        <f>(Prices!F232-Prices!F233)/Prices!F233</f>
        <v>-6.5667966345167314E-3</v>
      </c>
      <c r="E232" s="3">
        <f>(Prices!H232-Prices!H233)/Prices!H233</f>
        <v>7.3786151920416671E-3</v>
      </c>
      <c r="G232" s="4">
        <f>Inputs!$B$1*((Inputs!$B$6*Returns!B232)+(Inputs!$B$7*Returns!C232)+(Inputs!$B$8*Returns!D232)+(Inputs!$B$9*Returns!E232))</f>
        <v>-1111.8317460894391</v>
      </c>
    </row>
    <row r="233" spans="1:7" x14ac:dyDescent="0.4">
      <c r="A233" s="6">
        <v>45797</v>
      </c>
      <c r="B233" s="3">
        <f>(Prices!B233-Prices!B234)/Prices!B234</f>
        <v>-3.3621921492813312E-3</v>
      </c>
      <c r="C233" s="3">
        <f>(Prices!D233-Prices!D234)/Prices!D234</f>
        <v>-3.3332694775962319E-3</v>
      </c>
      <c r="D233" s="3">
        <f>(Prices!F233-Prices!F234)/Prices!F234</f>
        <v>-1.7412680528526244E-3</v>
      </c>
      <c r="E233" s="3">
        <f>(Prices!H233-Prices!H234)/Prices!H234</f>
        <v>1.8622286347012084E-2</v>
      </c>
      <c r="G233" s="4">
        <f>Inputs!$B$1*((Inputs!$B$6*Returns!B233)+(Inputs!$B$7*Returns!C233)+(Inputs!$B$8*Returns!D233)+(Inputs!$B$9*Returns!E233))</f>
        <v>-75.12826076235379</v>
      </c>
    </row>
    <row r="234" spans="1:7" x14ac:dyDescent="0.4">
      <c r="A234" s="6">
        <v>45796</v>
      </c>
      <c r="B234" s="3">
        <f>(Prices!B234-Prices!B235)/Prices!B235</f>
        <v>1.0939077751598405E-3</v>
      </c>
      <c r="C234" s="3">
        <f>(Prices!D234-Prices!D235)/Prices!D235</f>
        <v>9.5875438630131735E-4</v>
      </c>
      <c r="D234" s="3">
        <f>(Prices!F234-Prices!F235)/Prices!F235</f>
        <v>-3.0718820397297909E-4</v>
      </c>
      <c r="E234" s="3">
        <f>(Prices!H234-Prices!H235)/Prices!H235</f>
        <v>1.2880641653072199E-2</v>
      </c>
      <c r="G234" s="4">
        <f>Inputs!$B$1*((Inputs!$B$6*Returns!B234)+(Inputs!$B$7*Returns!C234)+(Inputs!$B$8*Returns!D234)+(Inputs!$B$9*Returns!E234))</f>
        <v>188.85188209532407</v>
      </c>
    </row>
    <row r="235" spans="1:7" x14ac:dyDescent="0.4">
      <c r="A235" s="6">
        <v>45793</v>
      </c>
      <c r="B235" s="3">
        <f>(Prices!B235-Prices!B236)/Prices!B236</f>
        <v>6.3340446431595851E-3</v>
      </c>
      <c r="C235" s="3">
        <f>(Prices!D235-Prices!D236)/Prices!D236</f>
        <v>4.3524313914299296E-3</v>
      </c>
      <c r="D235" s="3">
        <f>(Prices!F235-Prices!F236)/Prices!F236</f>
        <v>6.147540983606791E-4</v>
      </c>
      <c r="E235" s="3">
        <f>(Prices!H235-Prices!H236)/Prices!H236</f>
        <v>-1.2087026591458388E-2</v>
      </c>
      <c r="G235" s="4">
        <f>Inputs!$B$1*((Inputs!$B$6*Returns!B235)+(Inputs!$B$7*Returns!C235)+(Inputs!$B$8*Returns!D235)+(Inputs!$B$9*Returns!E235))</f>
        <v>256.67115705656477</v>
      </c>
    </row>
    <row r="236" spans="1:7" x14ac:dyDescent="0.4">
      <c r="A236" s="6">
        <v>45792</v>
      </c>
      <c r="B236" s="3">
        <f>(Prices!B236-Prices!B237)/Prices!B237</f>
        <v>4.8843581408805539E-3</v>
      </c>
      <c r="C236" s="3">
        <f>(Prices!D236-Prices!D237)/Prices!D237</f>
        <v>1.0989434718902793E-3</v>
      </c>
      <c r="D236" s="3">
        <f>(Prices!F236-Prices!F237)/Prices!F237</f>
        <v>5.6671818650180028E-3</v>
      </c>
      <c r="E236" s="3">
        <f>(Prices!H236-Prices!H237)/Prices!H237</f>
        <v>1.5963978714694876E-2</v>
      </c>
      <c r="G236" s="4">
        <f>Inputs!$B$1*((Inputs!$B$6*Returns!B236)+(Inputs!$B$7*Returns!C236)+(Inputs!$B$8*Returns!D236)+(Inputs!$B$9*Returns!E236))</f>
        <v>524.16724620487798</v>
      </c>
    </row>
    <row r="237" spans="1:7" x14ac:dyDescent="0.4">
      <c r="A237" s="6">
        <v>45791</v>
      </c>
      <c r="B237" s="3">
        <f>(Prices!B237-Prices!B238)/Prices!B238</f>
        <v>1.2780314906959307E-3</v>
      </c>
      <c r="C237" s="3">
        <f>(Prices!D237-Prices!D238)/Prices!D238</f>
        <v>5.9931340794040187E-3</v>
      </c>
      <c r="D237" s="3">
        <f>(Prices!F237-Prices!F238)/Prices!F238</f>
        <v>-2.8768108496866449E-3</v>
      </c>
      <c r="E237" s="3">
        <f>(Prices!H237-Prices!H238)/Prices!H238</f>
        <v>-2.1037868162692697E-2</v>
      </c>
      <c r="G237" s="4">
        <f>Inputs!$B$1*((Inputs!$B$6*Returns!B237)+(Inputs!$B$7*Returns!C237)+(Inputs!$B$8*Returns!D237)+(Inputs!$B$9*Returns!E237))</f>
        <v>-81.349341256155412</v>
      </c>
    </row>
    <row r="238" spans="1:7" x14ac:dyDescent="0.4">
      <c r="A238" s="6">
        <v>45790</v>
      </c>
      <c r="B238" s="3">
        <f>(Prices!B238-Prices!B239)/Prices!B239</f>
        <v>6.6038868591228369E-3</v>
      </c>
      <c r="C238" s="3">
        <f>(Prices!D238-Prices!D239)/Prices!D239</f>
        <v>1.5240720685241722E-2</v>
      </c>
      <c r="D238" s="3">
        <f>(Prices!F238-Prices!F239)/Prices!F239</f>
        <v>-1.0263779123474137E-3</v>
      </c>
      <c r="E238" s="3">
        <f>(Prices!H238-Prices!H239)/Prices!H239</f>
        <v>4.2590294778496324E-3</v>
      </c>
      <c r="G238" s="4">
        <f>Inputs!$B$1*((Inputs!$B$6*Returns!B238)+(Inputs!$B$7*Returns!C238)+(Inputs!$B$8*Returns!D238)+(Inputs!$B$9*Returns!E238))</f>
        <v>662.10433846576746</v>
      </c>
    </row>
    <row r="239" spans="1:7" x14ac:dyDescent="0.4">
      <c r="A239" s="6">
        <v>45789</v>
      </c>
      <c r="B239" s="3">
        <f>(Prices!B239-Prices!B240)/Prices!B240</f>
        <v>3.3047453662685571E-2</v>
      </c>
      <c r="C239" s="3">
        <f>(Prices!D239-Prices!D240)/Prices!D240</f>
        <v>4.0740209439104849E-2</v>
      </c>
      <c r="D239" s="3">
        <f>(Prices!F239-Prices!F240)/Prices!F240</f>
        <v>-3.375613747954156E-3</v>
      </c>
      <c r="E239" s="3">
        <f>(Prices!H239-Prices!H240)/Prices!H240</f>
        <v>-2.8190587928562046E-2</v>
      </c>
      <c r="G239" s="4">
        <f>Inputs!$B$1*((Inputs!$B$6*Returns!B239)+(Inputs!$B$7*Returns!C239)+(Inputs!$B$8*Returns!D239)+(Inputs!$B$9*Returns!E239))</f>
        <v>1974.1071595005699</v>
      </c>
    </row>
    <row r="240" spans="1:7" x14ac:dyDescent="0.4">
      <c r="A240" s="6">
        <v>45786</v>
      </c>
      <c r="B240" s="3">
        <f>(Prices!B240-Prices!B241)/Prices!B241</f>
        <v>-1.274200969808363E-3</v>
      </c>
      <c r="C240" s="3">
        <f>(Prices!D240-Prices!D241)/Prices!D241</f>
        <v>-6.5534825615923568E-4</v>
      </c>
      <c r="D240" s="3">
        <f>(Prices!F240-Prices!F241)/Prices!F241</f>
        <v>1.0239606799099788E-3</v>
      </c>
      <c r="E240" s="3">
        <f>(Prices!H240-Prices!H241)/Prices!H241</f>
        <v>7.2547024258936398E-3</v>
      </c>
      <c r="G240" s="4">
        <f>Inputs!$B$1*((Inputs!$B$6*Returns!B240)+(Inputs!$B$7*Returns!C240)+(Inputs!$B$8*Returns!D240)+(Inputs!$B$9*Returns!E240))</f>
        <v>30.794296060370456</v>
      </c>
    </row>
    <row r="241" spans="1:7" x14ac:dyDescent="0.4">
      <c r="A241" s="6">
        <v>45785</v>
      </c>
      <c r="B241" s="3">
        <f>(Prices!B241-Prices!B242)/Prices!B242</f>
        <v>6.967833912501057E-3</v>
      </c>
      <c r="C241" s="3">
        <f>(Prices!D241-Prices!D242)/Prices!D242</f>
        <v>1.0324849989654477E-2</v>
      </c>
      <c r="D241" s="3">
        <f>(Prices!F241-Prices!F242)/Prices!F242</f>
        <v>-5.195069776917644E-3</v>
      </c>
      <c r="E241" s="3">
        <f>(Prices!H241-Prices!H242)/Prices!H242</f>
        <v>-1.96942880128721E-2</v>
      </c>
      <c r="G241" s="4">
        <f>Inputs!$B$1*((Inputs!$B$6*Returns!B241)+(Inputs!$B$7*Returns!C241)+(Inputs!$B$8*Returns!D241)+(Inputs!$B$9*Returns!E241))</f>
        <v>210.01498168974209</v>
      </c>
    </row>
    <row r="242" spans="1:7" x14ac:dyDescent="0.4">
      <c r="A242" s="6">
        <v>45784</v>
      </c>
      <c r="B242" s="3">
        <f>(Prices!B242-Prices!B243)/Prices!B243</f>
        <v>4.2054402290623173E-3</v>
      </c>
      <c r="C242" s="3">
        <f>(Prices!D242-Prices!D243)/Prices!D243</f>
        <v>3.9259674705552153E-3</v>
      </c>
      <c r="D242" s="3">
        <f>(Prices!F242-Prices!F243)/Prices!F243</f>
        <v>1.5302999387880605E-3</v>
      </c>
      <c r="E242" s="3">
        <f>(Prices!H242-Prices!H243)/Prices!H243</f>
        <v>-1.4993026499302706E-2</v>
      </c>
      <c r="G242" s="4">
        <f>Inputs!$B$1*((Inputs!$B$6*Returns!B242)+(Inputs!$B$7*Returns!C242)+(Inputs!$B$8*Returns!D242)+(Inputs!$B$9*Returns!E242))</f>
        <v>154.69402940304749</v>
      </c>
    </row>
    <row r="243" spans="1:7" x14ac:dyDescent="0.4">
      <c r="A243" s="6">
        <v>45783</v>
      </c>
      <c r="B243" s="3">
        <f>(Prices!B243-Prices!B244)/Prices!B244</f>
        <v>-8.3583254955547134E-3</v>
      </c>
      <c r="C243" s="3">
        <f>(Prices!D243-Prices!D244)/Prices!D244</f>
        <v>-9.3017512810486726E-3</v>
      </c>
      <c r="D243" s="3">
        <f>(Prices!F243-Prices!F244)/Prices!F244</f>
        <v>2.45448967068925E-3</v>
      </c>
      <c r="E243" s="3">
        <f>(Prices!H243-Prices!H244)/Prices!H244</f>
        <v>2.8023983315954192E-2</v>
      </c>
      <c r="G243" s="4">
        <f>Inputs!$B$1*((Inputs!$B$6*Returns!B243)+(Inputs!$B$7*Returns!C243)+(Inputs!$B$8*Returns!D243)+(Inputs!$B$9*Returns!E243))</f>
        <v>-225.27472692163218</v>
      </c>
    </row>
    <row r="244" spans="1:7" x14ac:dyDescent="0.4">
      <c r="A244" s="6">
        <v>45782</v>
      </c>
      <c r="B244" s="3">
        <f>(Prices!B244-Prices!B245)/Prices!B245</f>
        <v>-5.7343496365304539E-3</v>
      </c>
      <c r="C244" s="3">
        <f>(Prices!D244-Prices!D245)/Prices!D245</f>
        <v>-5.9325327823578286E-3</v>
      </c>
      <c r="D244" s="3">
        <f>(Prices!F244-Prices!F245)/Prices!F245</f>
        <v>-1.7355793772332996E-3</v>
      </c>
      <c r="E244" s="3">
        <f>(Prices!H244-Prices!H245)/Prices!H245</f>
        <v>2.9867776360829507E-2</v>
      </c>
      <c r="G244" s="4">
        <f>Inputs!$B$1*((Inputs!$B$6*Returns!B244)+(Inputs!$B$7*Returns!C244)+(Inputs!$B$8*Returns!D244)+(Inputs!$B$9*Returns!E244))</f>
        <v>-122.39902584270132</v>
      </c>
    </row>
    <row r="245" spans="1:7" x14ac:dyDescent="0.4">
      <c r="A245" s="6">
        <v>45779</v>
      </c>
      <c r="B245" s="3">
        <f>(Prices!B245-Prices!B246)/Prices!B246</f>
        <v>1.4844127706053974E-2</v>
      </c>
      <c r="C245" s="3">
        <f>(Prices!D245-Prices!D246)/Prices!D246</f>
        <v>1.4843879754193608E-2</v>
      </c>
      <c r="D245" s="3">
        <f>(Prices!F245-Prices!F246)/Prices!F246</f>
        <v>-4.8765620237732803E-3</v>
      </c>
      <c r="E245" s="3">
        <f>(Prices!H245-Prices!H246)/Prices!H246</f>
        <v>1.7481342029181694E-3</v>
      </c>
      <c r="G245" s="4">
        <f>Inputs!$B$1*((Inputs!$B$6*Returns!B245)+(Inputs!$B$7*Returns!C245)+(Inputs!$B$8*Returns!D245)+(Inputs!$B$9*Returns!E245))</f>
        <v>860.42939353184886</v>
      </c>
    </row>
    <row r="246" spans="1:7" x14ac:dyDescent="0.4">
      <c r="A246" s="6">
        <v>45778</v>
      </c>
      <c r="B246" s="3">
        <f>(Prices!B246-Prices!B247)/Prices!B247</f>
        <v>7.0869549536553972E-3</v>
      </c>
      <c r="C246" s="3">
        <f>(Prices!D246-Prices!D247)/Prices!D247</f>
        <v>1.3060760931288997E-2</v>
      </c>
      <c r="D246" s="3">
        <f>(Prices!F246-Prices!F247)/Prices!F247</f>
        <v>-5.9583922439910043E-3</v>
      </c>
      <c r="E246" s="3">
        <f>(Prices!H246-Prices!H247)/Prices!H247</f>
        <v>-2.0772294828324069E-2</v>
      </c>
      <c r="G246" s="4">
        <f>Inputs!$B$1*((Inputs!$B$6*Returns!B246)+(Inputs!$B$7*Returns!C246)+(Inputs!$B$8*Returns!D246)+(Inputs!$B$9*Returns!E246))</f>
        <v>253.314467045425</v>
      </c>
    </row>
    <row r="247" spans="1:7" x14ac:dyDescent="0.4">
      <c r="A247" s="6">
        <v>45777</v>
      </c>
      <c r="B247" s="3">
        <f>(Prices!B247-Prices!B248)/Prices!B248</f>
        <v>3.9688266705136666E-4</v>
      </c>
      <c r="C247" s="3">
        <f>(Prices!D247-Prices!D248)/Prices!D248</f>
        <v>-1.2617500473144792E-4</v>
      </c>
      <c r="D247" s="3">
        <f>(Prices!F247-Prices!F248)/Prices!F248</f>
        <v>-9.0808192916964393E-4</v>
      </c>
      <c r="E247" s="3">
        <f>(Prices!H247-Prices!H248)/Prices!H248</f>
        <v>-7.4821930340456784E-3</v>
      </c>
      <c r="G247" s="4">
        <f>Inputs!$B$1*((Inputs!$B$6*Returns!B247)+(Inputs!$B$7*Returns!C247)+(Inputs!$B$8*Returns!D247)+(Inputs!$B$9*Returns!E247))</f>
        <v>-84.803047005929415</v>
      </c>
    </row>
    <row r="248" spans="1:7" x14ac:dyDescent="0.4">
      <c r="A248" s="6">
        <v>45776</v>
      </c>
      <c r="B248" s="3">
        <f>(Prices!B248-Prices!B249)/Prices!B249</f>
        <v>6.2993555414360119E-3</v>
      </c>
      <c r="C248" s="3">
        <f>(Prices!D248-Prices!D249)/Prices!D249</f>
        <v>6.6044325903345559E-3</v>
      </c>
      <c r="D248" s="3">
        <f>(Prices!F248-Prices!F249)/Prices!F249</f>
        <v>2.4274299585313529E-3</v>
      </c>
      <c r="E248" s="3">
        <f>(Prices!H248-Prices!H249)/Prices!H249</f>
        <v>-9.7388941016597896E-3</v>
      </c>
      <c r="G248" s="4">
        <f>Inputs!$B$1*((Inputs!$B$6*Returns!B248)+(Inputs!$B$7*Returns!C248)+(Inputs!$B$8*Returns!D248)+(Inputs!$B$9*Returns!E248))</f>
        <v>380.38184436249037</v>
      </c>
    </row>
    <row r="249" spans="1:7" x14ac:dyDescent="0.4">
      <c r="A249" s="6">
        <v>45775</v>
      </c>
      <c r="B249" s="3">
        <f>(Prices!B249-Prices!B250)/Prices!B250</f>
        <v>3.8137440069743641E-4</v>
      </c>
      <c r="C249" s="3">
        <f>(Prices!D249-Prices!D250)/Prices!D250</f>
        <v>-3.1742001015739219E-4</v>
      </c>
      <c r="D249" s="3">
        <f>(Prices!F249-Prices!F250)/Prices!F250</f>
        <v>2.7383367139960473E-3</v>
      </c>
      <c r="E249" s="3">
        <f>(Prices!H249-Prices!H250)/Prices!H250</f>
        <v>1.4242115971515685E-2</v>
      </c>
      <c r="G249" s="4">
        <f>Inputs!$B$1*((Inputs!$B$6*Returns!B249)+(Inputs!$B$7*Returns!C249)+(Inputs!$B$8*Returns!D249)+(Inputs!$B$9*Returns!E249))</f>
        <v>218.19905333902071</v>
      </c>
    </row>
    <row r="250" spans="1:7" x14ac:dyDescent="0.4">
      <c r="A250" s="6">
        <v>45772</v>
      </c>
      <c r="B250" s="3">
        <f>(Prices!B250-Prices!B251)/Prices!B251</f>
        <v>7.2253013590882062E-3</v>
      </c>
      <c r="C250" s="3">
        <f>(Prices!D250-Prices!D251)/Prices!D251</f>
        <v>1.1147961912913189E-2</v>
      </c>
      <c r="D250" s="3">
        <f>(Prices!F250-Prices!F251)/Prices!F251</f>
        <v>3.6644951140065089E-3</v>
      </c>
      <c r="E250" s="3">
        <f>(Prices!H250-Prices!H251)/Prices!H251</f>
        <v>-1.0841691823286835E-2</v>
      </c>
      <c r="G250" s="4">
        <f>Inputs!$B$1*((Inputs!$B$6*Returns!B250)+(Inputs!$B$7*Returns!C250)+(Inputs!$B$8*Returns!D250)+(Inputs!$B$9*Returns!E250))</f>
        <v>550.90656180365238</v>
      </c>
    </row>
    <row r="251" spans="1:7" x14ac:dyDescent="0.4">
      <c r="A251" s="6">
        <v>45771</v>
      </c>
      <c r="B251" s="3">
        <f>(Prices!B251-Prices!B252)/Prices!B252</f>
        <v>2.1048896193642554E-2</v>
      </c>
      <c r="C251" s="3">
        <f>(Prices!D251-Prices!D252)/Prices!D252</f>
        <v>2.8137099612812435E-2</v>
      </c>
      <c r="D251" s="3">
        <f>(Prices!F251-Prices!F252)/Prices!F252</f>
        <v>5.5271238485157829E-3</v>
      </c>
      <c r="E251" s="3">
        <f>(Prices!H251-Prices!H252)/Prices!H252</f>
        <v>1.4556232504528293E-2</v>
      </c>
      <c r="G251" s="4">
        <f>Inputs!$B$1*((Inputs!$B$6*Returns!B251)+(Inputs!$B$7*Returns!C251)+(Inputs!$B$8*Returns!D251)+(Inputs!$B$9*Returns!E251))</f>
        <v>1829.1237593241906</v>
      </c>
    </row>
    <row r="252" spans="1:7" x14ac:dyDescent="0.4">
      <c r="A252" s="6">
        <v>45770</v>
      </c>
    </row>
    <row r="254" spans="1:7" x14ac:dyDescent="0.4">
      <c r="E254" s="1" t="s">
        <v>19</v>
      </c>
      <c r="G254" s="4">
        <f>AVERAGE(G1:G251)</f>
        <v>102.55131270889086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A47" sqref="A47"/>
    </sheetView>
  </sheetViews>
  <sheetFormatPr defaultRowHeight="14.6" x14ac:dyDescent="0.4"/>
  <cols>
    <col min="1" max="1" width="23.4609375" bestFit="1" customWidth="1"/>
    <col min="2" max="2" width="11.84375" style="1" bestFit="1" customWidth="1"/>
    <col min="3" max="5" width="9.23046875" style="1"/>
  </cols>
  <sheetData>
    <row r="1" spans="1:5" x14ac:dyDescent="0.4"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4">
      <c r="A2" t="s">
        <v>9</v>
      </c>
      <c r="B2" s="9">
        <f>_xlfn.COVARIANCE.S(Returns!$B$2:$B$252,Returns!B2:B252)</f>
        <v>6.3669477344047349E-5</v>
      </c>
      <c r="C2" s="9">
        <f>_xlfn.COVARIANCE.S(Returns!$B$2:$B$252,Returns!C2:C252)</f>
        <v>7.8689792386613184E-5</v>
      </c>
      <c r="D2" s="9">
        <f>_xlfn.COVARIANCE.S(Returns!$B$2:$B$252,Returns!D2:D252)</f>
        <v>4.3864713762651058E-6</v>
      </c>
      <c r="E2" s="9">
        <f>_xlfn.COVARIANCE.S(Returns!$B$2:$B$252,Returns!E2:E252)</f>
        <v>1.1749574870438838E-5</v>
      </c>
    </row>
    <row r="3" spans="1:5" x14ac:dyDescent="0.4">
      <c r="A3" t="s">
        <v>10</v>
      </c>
      <c r="B3" s="9">
        <f>_xlfn.COVARIANCE.S(Returns!$C$2:$C$252,Returns!B2:B252)</f>
        <v>7.8689792386613184E-5</v>
      </c>
      <c r="C3" s="9">
        <f>_xlfn.COVARIANCE.S(Returns!$C$2:$C$252,Returns!C2:C252)</f>
        <v>1.065589320074443E-4</v>
      </c>
      <c r="D3" s="9">
        <f>_xlfn.COVARIANCE.S(Returns!$C$2:$C$252,Returns!D2:D252)</f>
        <v>3.8216779115443502E-6</v>
      </c>
      <c r="E3" s="9">
        <f>_xlfn.COVARIANCE.S(Returns!$C$2:$C$252,Returns!E2:E252)</f>
        <v>1.6939846600140376E-5</v>
      </c>
    </row>
    <row r="4" spans="1:5" x14ac:dyDescent="0.4">
      <c r="A4" t="s">
        <v>11</v>
      </c>
      <c r="B4" s="9">
        <f>_xlfn.COVARIANCE.S(Returns!$D$2:$D$252,Returns!B2:B252)</f>
        <v>4.3864713762651058E-6</v>
      </c>
      <c r="C4" s="9">
        <f>_xlfn.COVARIANCE.S(Returns!$D$2:$D$252,Returns!C2:C252)</f>
        <v>3.8216779115443502E-6</v>
      </c>
      <c r="D4" s="9">
        <f>_xlfn.COVARIANCE.S(Returns!$D$2:$D$252,Returns!D2:D252)</f>
        <v>7.0491900112286689E-6</v>
      </c>
      <c r="E4" s="9">
        <f>_xlfn.COVARIANCE.S(Returns!$D$2:$D$252,Returns!E2:E252)</f>
        <v>6.9177707373386845E-6</v>
      </c>
    </row>
    <row r="5" spans="1:5" x14ac:dyDescent="0.4">
      <c r="A5" t="s">
        <v>12</v>
      </c>
      <c r="B5" s="9">
        <f>_xlfn.COVARIANCE.S(Returns!$E$2:$E$252,Returns!B2:B252)</f>
        <v>1.1749574870438838E-5</v>
      </c>
      <c r="C5" s="9">
        <f>_xlfn.COVARIANCE.S(Returns!$E$2:$E$252,Returns!C2:C252)</f>
        <v>1.6939846600140376E-5</v>
      </c>
      <c r="D5" s="9">
        <f>_xlfn.COVARIANCE.S(Returns!$E$2:$E$252,Returns!D2:D252)</f>
        <v>6.9177707373386845E-6</v>
      </c>
      <c r="E5" s="9">
        <f>_xlfn.COVARIANCE.S(Returns!$E$2:$E$252,Returns!E2:E252)</f>
        <v>2.966766284922011E-4</v>
      </c>
    </row>
    <row r="7" spans="1:5" x14ac:dyDescent="0.4">
      <c r="B7" s="1" t="s">
        <v>9</v>
      </c>
      <c r="C7" s="1" t="s">
        <v>10</v>
      </c>
      <c r="D7" s="1" t="s">
        <v>11</v>
      </c>
      <c r="E7" s="1" t="s">
        <v>12</v>
      </c>
    </row>
    <row r="8" spans="1:5" x14ac:dyDescent="0.4">
      <c r="A8" t="s">
        <v>15</v>
      </c>
      <c r="B8" s="3">
        <v>7.0000000000000007E-2</v>
      </c>
      <c r="C8" s="2">
        <v>0.1</v>
      </c>
      <c r="D8" s="2">
        <v>0.02</v>
      </c>
      <c r="E8" s="2">
        <v>0.02</v>
      </c>
    </row>
    <row r="9" spans="1:5" x14ac:dyDescent="0.4">
      <c r="A9" t="s">
        <v>16</v>
      </c>
      <c r="B9" s="3">
        <f>_xlfn.STDEV.S(Returns!B2:B251)*(Inputs!$B$3^0.5)</f>
        <v>0.12666770816076189</v>
      </c>
      <c r="C9" s="3">
        <f>_xlfn.STDEV.S(Returns!C2:C251)*(Inputs!$B$3^0.5)</f>
        <v>0.16386839495728259</v>
      </c>
      <c r="D9" s="3">
        <f>_xlfn.STDEV.S(Returns!D2:D251)*(Inputs!$B$3^0.5)</f>
        <v>4.2147311691608812E-2</v>
      </c>
      <c r="E9" s="3">
        <f>_xlfn.STDEV.S(Returns!E2:E251)*(Inputs!$B$3^0.5)</f>
        <v>0.27342734022045928</v>
      </c>
    </row>
    <row r="11" spans="1:5" x14ac:dyDescent="0.4">
      <c r="A11" t="s">
        <v>17</v>
      </c>
      <c r="B11" s="10">
        <f t="array" ref="B11">MMULT(TRANSPOSE(Inputs!B6:B9),MMULT(Var_Calcs!B2:E5,Inputs!B6:B9))</f>
        <v>3.9480199634164405E-5</v>
      </c>
    </row>
    <row r="12" spans="1:5" x14ac:dyDescent="0.4">
      <c r="A12" t="s">
        <v>20</v>
      </c>
      <c r="B12" s="1">
        <f>SQRT(B11)</f>
        <v>6.2833271150055849E-3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Prices</vt:lpstr>
      <vt:lpstr>Returns</vt:lpstr>
      <vt:lpstr>Var_Calcs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Chui</dc:creator>
  <cp:lastModifiedBy>Daniel Chui</cp:lastModifiedBy>
  <dcterms:created xsi:type="dcterms:W3CDTF">2026-04-23T05:03:41Z</dcterms:created>
  <dcterms:modified xsi:type="dcterms:W3CDTF">2026-04-23T12:52:45Z</dcterms:modified>
</cp:coreProperties>
</file>